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" sheetId="1" state="visible" r:id="rId1"/>
    <sheet name="Oppsett" sheetId="2" state="visible" r:id="rId2"/>
    <sheet name="Elevar" sheetId="3" state="visible" r:id="rId3"/>
    <sheet name="Innmelding" sheetId="4" state="visible" r:id="rId4"/>
    <sheet name="Tiltak" sheetId="5" state="visible" r:id="rId5"/>
    <sheet name="Oversikt" sheetId="6" state="visible" r:id="rId6"/>
    <sheet name="Elevkort" sheetId="7" state="visible" r:id="rId7"/>
    <sheet name="Utrekning" sheetId="8" state="hidden" r:id="rId8"/>
    <sheet name="Lister" sheetId="9" state="hidden" r:id="rId9"/>
  </sheets>
  <definedNames>
    <definedName name="Klasser">OFFSET(Oppsett!$B$12,0,0,MAX(1,COUNTA(Oppsett!$B$12:$B$71)),1)</definedName>
    <definedName name="Moter">OFFSET(Oppsett!$C$12,0,0,MAX(1,COUNTA(Oppsett!$C$12:$C$31)),1)</definedName>
    <definedName name="Omrader">OFFSET(Oppsett!$F$12,0,0,MAX(1,COUNTA(Oppsett!$F$12:$F$35)),1)</definedName>
    <definedName name="Lysliste">'Lister'!$A$2:$A$4</definedName>
    <definedName name="Statusar">'Lister'!$B$2:$B$6</definedName>
    <definedName name="Malformer">'Lister'!$D$2:$D$3</definedName>
    <definedName name="VelKlasse">'Lister'!$F$2</definedName>
    <definedName name="ELEV_1ID">OFFSET('Elevar'!$A$2,0,0,MAX(1,COUNTA('Elevar'!$A$2:$A$41)),1)</definedName>
    <definedName name="ELEV_1HO">OFFSET('Elevar'!$B$2,0,0,MAX(1,COUNTA('Elevar'!$B$2:$B$41)),1)</definedName>
    <definedName name="ELEV_2AKV_FF">OFFSET('Elevar'!$C$2,0,0,MAX(1,COUNTA('Elevar'!$C$2:$C$41)),1)</definedName>
    <definedName name="_xlnm._FilterDatabase" localSheetId="3" hidden="1">'Innmelding'!$A$1:$G$701</definedName>
    <definedName name="_xlnm._FilterDatabase" localSheetId="4" hidden="1">'Tiltak'!$A$1:$H$251</definedName>
    <definedName name="_xlnm.Print_Titles" localSheetId="5">'Oversikt'!$8:$8</definedName>
    <definedName name="_xlnm.Print_Area" localSheetId="5">'Oversikt'!$B$2:$Q$48</definedName>
    <definedName name="_xlnm.Print_Area" localSheetId="6">'Elevkort'!$B$2:$G$46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;-0;;@"/>
  </numFmts>
  <fonts count="21">
    <font>
      <name val="Calibri"/>
      <family val="2"/>
      <color theme="1"/>
      <sz val="11"/>
      <scheme val="minor"/>
    </font>
    <font>
      <name val="Aptos Narrow"/>
      <b val="1"/>
      <color rgb="0016212A"/>
      <sz val="22"/>
    </font>
    <font>
      <name val="Aptos Narrow"/>
      <color rgb="005B6A72"/>
      <sz val="11"/>
    </font>
    <font>
      <name val="Aptos Narrow"/>
      <b val="1"/>
      <color rgb="0016212A"/>
      <sz val="12"/>
    </font>
    <font>
      <name val="Aptos Narrow"/>
      <b val="1"/>
      <color rgb="005B6A72"/>
      <sz val="11"/>
    </font>
    <font>
      <name val="Aptos Narrow"/>
      <b val="1"/>
      <color rgb="0016212A"/>
      <sz val="16"/>
    </font>
    <font>
      <name val="Aptos Narrow"/>
      <i val="1"/>
      <color rgb="005B6A72"/>
      <sz val="10"/>
    </font>
    <font>
      <name val="Aptos Narrow"/>
      <b val="1"/>
      <color rgb="00FFFFFF"/>
      <sz val="12"/>
    </font>
    <font>
      <name val="Aptos Narrow"/>
      <b val="1"/>
      <color rgb="0016212A"/>
      <sz val="11"/>
    </font>
    <font>
      <name val="Aptos Narrow"/>
      <color rgb="0016212A"/>
      <sz val="11"/>
    </font>
    <font>
      <name val="Aptos Narrow"/>
      <color rgb="005B6A72"/>
      <sz val="10"/>
    </font>
    <font>
      <name val="Aptos Narrow"/>
      <b val="1"/>
      <color rgb="00FFFFFF"/>
      <sz val="11"/>
    </font>
    <font>
      <name val="Aptos Narrow"/>
      <b val="1"/>
      <color rgb="0016212A"/>
      <sz val="20"/>
    </font>
    <font>
      <name val="Aptos Narrow"/>
      <b val="1"/>
      <color rgb="00B3382A"/>
      <sz val="20"/>
    </font>
    <font>
      <name val="Aptos Narrow"/>
      <color rgb="005B6A72"/>
      <sz val="9"/>
    </font>
    <font>
      <name val="Aptos Narrow"/>
      <b val="1"/>
      <color rgb="00B77F0F"/>
      <sz val="20"/>
    </font>
    <font>
      <name val="Aptos Narrow"/>
      <b val="1"/>
      <color rgb="002E7D4F"/>
      <sz val="20"/>
    </font>
    <font>
      <name val="Aptos Narrow"/>
      <i val="1"/>
      <color rgb="005B6A72"/>
      <sz val="9"/>
    </font>
    <font>
      <name val="Aptos Narrow"/>
      <b val="1"/>
      <color rgb="00FFFFFF"/>
      <sz val="10"/>
    </font>
    <font>
      <name val="Aptos Narrow"/>
      <color rgb="0016212A"/>
      <sz val="12"/>
    </font>
    <font>
      <name val="Aptos Narrow"/>
      <b val="1"/>
      <color rgb="0016212A"/>
      <sz val="14"/>
    </font>
  </fonts>
  <fills count="5">
    <fill>
      <patternFill/>
    </fill>
    <fill>
      <patternFill patternType="gray125"/>
    </fill>
    <fill>
      <patternFill patternType="solid">
        <fgColor rgb="00EFF2F0"/>
      </patternFill>
    </fill>
    <fill>
      <patternFill patternType="solid">
        <fgColor rgb="000093C9"/>
      </patternFill>
    </fill>
    <fill>
      <patternFill patternType="solid">
        <fgColor rgb="0016212A"/>
      </patternFill>
    </fill>
  </fills>
  <borders count="9">
    <border>
      <left/>
      <right/>
      <top/>
      <bottom/>
      <diagonal/>
    </border>
    <border>
      <bottom style="medium">
        <color rgb="0016212A"/>
      </bottom>
    </border>
    <border>
      <bottom style="thin">
        <color rgb="00D3D9D6"/>
      </bottom>
    </border>
    <border>
      <right style="thin">
        <color rgb="00D3D9D6"/>
      </right>
      <bottom style="thin">
        <color rgb="00D3D9D6"/>
      </bottom>
    </border>
    <border>
      <left style="thick">
        <color rgb="00B3382A"/>
      </left>
    </border>
    <border>
      <left style="thick">
        <color rgb="00B77F0F"/>
      </left>
    </border>
    <border>
      <left style="thick">
        <color rgb="002E7D4F"/>
      </left>
    </border>
    <border>
      <left style="thick">
        <color rgb="0016212A"/>
      </left>
    </border>
    <border>
      <left/>
      <right/>
      <top/>
      <bottom style="medium">
        <color rgb="0016212A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indent="1"/>
    </xf>
    <xf numFmtId="0" fontId="6" fillId="0" borderId="0" pivotButton="0" quotePrefix="0" xfId="0"/>
    <xf numFmtId="0" fontId="7" fillId="3" borderId="1" applyAlignment="1" pivotButton="0" quotePrefix="0" xfId="0">
      <alignment vertical="center" indent="1"/>
    </xf>
    <xf numFmtId="0" fontId="8" fillId="0" borderId="0" pivotButton="0" quotePrefix="0" xfId="0"/>
    <xf numFmtId="0" fontId="9" fillId="0" borderId="2" pivotButton="0" quotePrefix="0" xfId="0"/>
    <xf numFmtId="165" fontId="9" fillId="0" borderId="2" pivotButton="0" quotePrefix="0" xfId="0"/>
    <xf numFmtId="0" fontId="10" fillId="0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11" fillId="4" borderId="0" applyAlignment="1" pivotButton="0" quotePrefix="0" xfId="0">
      <alignment horizontal="left" vertical="center" indent="1"/>
    </xf>
    <xf numFmtId="0" fontId="9" fillId="0" borderId="3" applyAlignment="1" pivotButton="0" quotePrefix="0" xfId="0">
      <alignment vertical="center" indent="1"/>
    </xf>
    <xf numFmtId="0" fontId="9" fillId="0" borderId="3" applyAlignment="1" pivotButton="0" quotePrefix="0" xfId="0">
      <alignment vertical="center" indent="1"/>
    </xf>
    <xf numFmtId="0" fontId="9" fillId="0" borderId="3" applyAlignment="1" pivotButton="0" quotePrefix="0" xfId="0">
      <alignment vertical="center" wrapText="1" indent="1"/>
    </xf>
    <xf numFmtId="165" fontId="9" fillId="0" borderId="3" applyAlignment="1" pivotButton="0" quotePrefix="0" xfId="0">
      <alignment vertical="center" indent="1"/>
    </xf>
    <xf numFmtId="0" fontId="12" fillId="0" borderId="0" pivotButton="0" quotePrefix="0" xfId="0"/>
    <xf numFmtId="0" fontId="3" fillId="2" borderId="1" applyAlignment="1" applyProtection="1" pivotButton="0" quotePrefix="0" xfId="0">
      <alignment vertical="center" indent="1"/>
      <protection locked="0" hidden="0"/>
    </xf>
    <xf numFmtId="0" fontId="13" fillId="0" borderId="4" applyAlignment="1" pivotButton="0" quotePrefix="0" xfId="0">
      <alignment horizontal="left" vertical="bottom" indent="1"/>
    </xf>
    <xf numFmtId="0" fontId="15" fillId="0" borderId="5" applyAlignment="1" pivotButton="0" quotePrefix="0" xfId="0">
      <alignment horizontal="left" vertical="bottom" indent="1"/>
    </xf>
    <xf numFmtId="0" fontId="16" fillId="0" borderId="6" applyAlignment="1" pivotButton="0" quotePrefix="0" xfId="0">
      <alignment horizontal="left" vertical="bottom" indent="1"/>
    </xf>
    <xf numFmtId="0" fontId="12" fillId="0" borderId="7" applyAlignment="1" pivotButton="0" quotePrefix="0" xfId="0">
      <alignment horizontal="left" vertical="bottom" indent="1"/>
    </xf>
    <xf numFmtId="0" fontId="14" fillId="0" borderId="4" applyAlignment="1" pivotButton="0" quotePrefix="0" xfId="0">
      <alignment vertical="top" wrapText="1" indent="1"/>
    </xf>
    <xf numFmtId="0" fontId="14" fillId="0" borderId="5" applyAlignment="1" pivotButton="0" quotePrefix="0" xfId="0">
      <alignment vertical="top" wrapText="1" indent="1"/>
    </xf>
    <xf numFmtId="0" fontId="14" fillId="0" borderId="6" applyAlignment="1" pivotButton="0" quotePrefix="0" xfId="0">
      <alignment vertical="top" wrapText="1" indent="1"/>
    </xf>
    <xf numFmtId="0" fontId="14" fillId="0" borderId="7" applyAlignment="1" pivotButton="0" quotePrefix="0" xfId="0">
      <alignment vertical="top" wrapText="1" indent="1"/>
    </xf>
    <xf numFmtId="0" fontId="2" fillId="0" borderId="0" applyAlignment="1" pivotButton="0" quotePrefix="0" xfId="0">
      <alignment vertical="center" indent="1"/>
    </xf>
    <xf numFmtId="0" fontId="17" fillId="0" borderId="0" pivotButton="0" quotePrefix="0" xfId="0"/>
    <xf numFmtId="0" fontId="10" fillId="0" borderId="0" pivotButton="0" quotePrefix="0" xfId="0"/>
    <xf numFmtId="0" fontId="18" fillId="4" borderId="0" applyAlignment="1" pivotButton="0" quotePrefix="0" xfId="0">
      <alignment horizontal="left" vertical="center" wrapText="1" indent="1"/>
    </xf>
    <xf numFmtId="0" fontId="18" fillId="4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indent="1"/>
    </xf>
    <xf numFmtId="166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1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1" fillId="4" borderId="0" applyAlignment="1" pivotButton="0" quotePrefix="0" xfId="0">
      <alignment vertical="center" indent="1"/>
    </xf>
    <xf numFmtId="0" fontId="9" fillId="0" borderId="0" applyAlignment="1" pivotButton="0" quotePrefix="0" xfId="0">
      <alignment vertical="top" indent="1"/>
    </xf>
    <xf numFmtId="0" fontId="9" fillId="0" borderId="0" applyAlignment="1" pivotButton="0" quotePrefix="0" xfId="0">
      <alignment vertical="top" wrapText="1" indent="1"/>
    </xf>
    <xf numFmtId="0" fontId="20" fillId="0" borderId="0" pivotButton="0" quotePrefix="0" xfId="0"/>
    <xf numFmtId="165" fontId="9" fillId="0" borderId="0" applyAlignment="1" pivotButton="0" quotePrefix="0" xfId="0">
      <alignment vertical="top" indent="1"/>
    </xf>
  </cellXfs>
  <cellStyles count="1">
    <cellStyle name="Normal" xfId="0" builtinId="0" hidden="0"/>
  </cellStyles>
  <dxfs count="17">
    <dxf>
      <font>
        <name val="Aptos Narrow"/>
        <b val="1"/>
        <color rgb="002E7D4F"/>
        <sz val="11"/>
      </font>
      <fill>
        <patternFill patternType="solid">
          <bgColor rgb="00C4DBCE"/>
        </patternFill>
      </fill>
    </dxf>
    <dxf>
      <font>
        <name val="Aptos Narrow"/>
        <b val="1"/>
        <color rgb="00B77F0F"/>
        <sz val="11"/>
      </font>
      <fill>
        <patternFill patternType="solid">
          <bgColor rgb="00EBDBBC"/>
        </patternFill>
      </fill>
    </dxf>
    <dxf>
      <font>
        <name val="Aptos Narrow"/>
        <b val="1"/>
        <color rgb="00B3382A"/>
        <sz val="11"/>
      </font>
      <fill>
        <patternFill patternType="solid">
          <bgColor rgb="00EAC7C3"/>
        </patternFill>
      </fill>
    </dxf>
    <dxf>
      <fill>
        <patternFill patternType="solid">
          <bgColor rgb="00F0F6F3"/>
        </patternFill>
      </fill>
    </dxf>
    <dxf>
      <fill>
        <patternFill patternType="solid">
          <bgColor rgb="00FAF6EE"/>
        </patternFill>
      </fill>
    </dxf>
    <dxf>
      <fill>
        <patternFill patternType="solid">
          <bgColor rgb="00FAF1F0"/>
        </patternFill>
      </fill>
    </dxf>
    <dxf>
      <border>
        <top style="medium">
          <color rgb="0016212A"/>
        </top>
      </border>
    </dxf>
    <dxf>
      <border>
        <top style="thick">
          <color rgb="0016212A"/>
        </top>
      </border>
    </dxf>
    <dxf>
      <font>
        <name val="Aptos Narrow"/>
        <i val="1"/>
        <color rgb="005B6A72"/>
        <sz val="11"/>
      </font>
    </dxf>
    <dxf>
      <fill>
        <patternFill patternType="solid">
          <bgColor rgb="0016212A"/>
        </patternFill>
      </fill>
    </dxf>
    <dxf>
      <font>
        <name val="Aptos Narrow"/>
        <b val="1"/>
        <color rgb="00B3382A"/>
        <sz val="12"/>
      </font>
      <fill>
        <patternFill patternType="solid">
          <bgColor rgb="00EED3D0"/>
        </patternFill>
      </fill>
    </dxf>
    <dxf>
      <font>
        <name val="Aptos Narrow"/>
        <b val="1"/>
        <color rgb="00B77F0F"/>
        <sz val="12"/>
      </font>
      <fill>
        <patternFill patternType="solid">
          <bgColor rgb="00EFE3CA"/>
        </patternFill>
      </fill>
    </dxf>
    <dxf>
      <font>
        <name val="Aptos Narrow"/>
        <b val="1"/>
        <color rgb="002E7D4F"/>
        <sz val="12"/>
      </font>
      <fill>
        <patternFill patternType="solid">
          <bgColor rgb="00D1E2D8"/>
        </patternFill>
      </fill>
    </dxf>
    <dxf>
      <font>
        <name val="Aptos Narrow"/>
        <b val="1"/>
        <color rgb="00B3382A"/>
        <sz val="12"/>
      </font>
    </dxf>
    <dxf>
      <font>
        <name val="Aptos Narrow"/>
        <b val="1"/>
        <color rgb="00B77F0F"/>
        <sz val="12"/>
      </font>
    </dxf>
    <dxf>
      <border>
        <right style="thin">
          <color rgb="00D3D9D6"/>
        </right>
        <bottom style="thin">
          <color rgb="00D3D9D6"/>
        </bottom>
      </border>
    </dxf>
    <dxf>
      <border>
        <bottom style="thin">
          <color rgb="00D3D9D6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6" customWidth="1" min="2" max="2"/>
  </cols>
  <sheetData>
    <row r="2">
      <c r="B2" s="1" t="inlineStr">
        <is>
          <t>Trafikklys</t>
        </is>
      </c>
    </row>
    <row r="4" ht="30" customHeight="1">
      <c r="B4" s="2" t="inlineStr">
        <is>
          <t>Kvar lærar melder inn det som ikkje er grønt. Møtet får eitt rutenett per klasse: elevane nedover, områda bortover, sterkaste lys i kvar rute.</t>
        </is>
      </c>
    </row>
    <row r="6" ht="26" customHeight="1">
      <c r="B6" s="3" t="inlineStr">
        <is>
          <t>1  Oppsett – skule, klassar, møtedatoar og kva område de set lys på.</t>
        </is>
      </c>
    </row>
    <row r="7" ht="26" customHeight="1">
      <c r="B7" s="3" t="inlineStr">
        <is>
          <t>2  Elevar – éi kolonne per klasse med namna. Då veit Innmelding kven som finst.</t>
        </is>
      </c>
    </row>
    <row r="8" ht="26" customHeight="1">
      <c r="B8" s="3" t="inlineStr">
        <is>
          <t>3  Innmelding – éi rad per ting du vil melde inn. Alt har nedtrekksliste.</t>
        </is>
      </c>
    </row>
    <row r="9" ht="26" customHeight="1">
      <c r="B9" s="3" t="inlineStr">
        <is>
          <t>4  Oversikt – i møtet. Vel møte og klasse øvst, så står rutenettet ferdig, med mest raudt øvst.</t>
        </is>
      </c>
    </row>
    <row r="10" ht="26" customHeight="1">
      <c r="B10" s="3" t="inlineStr">
        <is>
          <t>5  Elevkort – vel ein elev og sjå kva kvar lærar skreiv, og tiltaka som går.</t>
        </is>
      </c>
    </row>
    <row r="11" ht="26" customHeight="1">
      <c r="B11" s="3" t="inlineStr">
        <is>
          <t>6  Tiltak – det møtet blir samde om: kva, kven og til når.</t>
        </is>
      </c>
    </row>
    <row r="13" ht="30" customHeight="1">
      <c r="B13" s="2" t="inlineStr">
        <is>
          <t>Alt skjer i denne fila. Ho treng ingen makroar, tillegg eller internett, så ho verkar også i eit lukka system som IOPsky.</t>
        </is>
      </c>
    </row>
    <row r="15" ht="30" customHeight="1">
      <c r="B15" s="4" t="inlineStr">
        <is>
          <t>Kva lysa tyder</t>
        </is>
      </c>
    </row>
    <row r="16" ht="30" customHeight="1">
      <c r="B16" s="2" t="inlineStr">
        <is>
          <t>Grønt – alt er i orden. Treng ikkje meldast inn, men du kan gjere det om du vil stadfeste at du har sett etter.</t>
        </is>
      </c>
    </row>
    <row r="17" ht="30" customHeight="1">
      <c r="B17" s="2" t="inlineStr">
        <is>
          <t>Gult – noko å følgje med på. Kontaktlærar og faglærar handterer det i klassen, men møtet skal vite om det.</t>
        </is>
      </c>
    </row>
    <row r="18" ht="30" customHeight="1">
      <c r="B18" s="2" t="inlineStr">
        <is>
          <t>Raudt – må takast opp i elevstatusmøtet. Skal ende i eit tiltak med ein ansvarleg og ein frist.</t>
        </is>
      </c>
    </row>
    <row r="20" ht="30" customHeight="1">
      <c r="B20" s="4" t="inlineStr">
        <is>
          <t>Slik skriv du merknaden</t>
        </is>
      </c>
    </row>
    <row r="21" ht="30" customHeight="1">
      <c r="B21" s="2" t="inlineStr">
        <is>
          <t>Skriv det du har observert, kort og konkret: «Ikkje levert dei tre siste innleveringane» framfor «umotivert».</t>
        </is>
      </c>
    </row>
    <row r="22" ht="30" customHeight="1">
      <c r="B22" s="2" t="inlineStr">
        <is>
          <t>Ikkje skriv helseopplysningar, diagnosar eller opplysningar om familien. Det høyrer heime i elevmappa, ikkje her.</t>
        </is>
      </c>
    </row>
    <row r="23" ht="30" customHeight="1">
      <c r="B23" s="2" t="inlineStr">
        <is>
          <t>Denne fila inneheld personopplysningar. Ho skal liggje der skulen oppbevarer teiepliktige dokument (IOPsky), delt berre med lærarane som har klassane.</t>
        </is>
      </c>
    </row>
    <row r="25" ht="30" customHeight="1">
      <c r="B25" s="4" t="inlineStr">
        <is>
          <t>Godt å vite</t>
        </is>
      </c>
    </row>
    <row r="26" ht="30" customHeight="1">
      <c r="B26" s="2" t="inlineStr">
        <is>
          <t>Elev-nedtrekket viser berre elevane i klassen du har valt. Vel klasse først.</t>
        </is>
      </c>
    </row>
    <row r="27" ht="30" customHeight="1">
      <c r="B27" s="2" t="inlineStr">
        <is>
          <t>Møte-kolonnen gjer at éi arbeidsbok tek heile året. Oversikta viser piler for det som er nytt eller endra sidan førre møte.</t>
        </is>
      </c>
    </row>
    <row r="28" ht="30" customHeight="1">
      <c r="B28" s="2" t="inlineStr">
        <is>
          <t>Oversikt og Elevkort er låste så formlane ikkje blir skrivne over. Berre valfelta er opne. Låsen har ikkje passord.</t>
        </is>
      </c>
    </row>
    <row r="29" ht="30" customHeight="1">
      <c r="B29" s="2" t="inlineStr">
        <is>
          <t>Klikk på filterpila i Møte-kolonnen når du vil sjå eitt møte om gongen. Rader du ikkje bruker, lèt du stå tomme.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26" customWidth="1" min="4" max="4"/>
    <col width="3" customWidth="1" min="5" max="5"/>
    <col width="28" customWidth="1" min="6" max="6"/>
    <col width="54" customWidth="1" min="7" max="7"/>
  </cols>
  <sheetData>
    <row r="2">
      <c r="B2" s="5" t="inlineStr">
        <is>
          <t>Oppsett</t>
        </is>
      </c>
    </row>
    <row r="4" ht="22" customHeight="1">
      <c r="B4" s="6" t="inlineStr">
        <is>
          <t>Skule</t>
        </is>
      </c>
      <c r="C4" s="7" t="inlineStr">
        <is>
          <t>Hustadvika vidaregåande skole</t>
        </is>
      </c>
    </row>
    <row r="5" ht="22" customHeight="1">
      <c r="B5" s="6" t="inlineStr">
        <is>
          <t>Skuleår</t>
        </is>
      </c>
      <c r="C5" s="7" t="inlineStr">
        <is>
          <t>2026/2027</t>
        </is>
      </c>
    </row>
    <row r="6" ht="22" customHeight="1">
      <c r="B6" s="6" t="inlineStr">
        <is>
          <t>Språk</t>
        </is>
      </c>
      <c r="C6" s="7" t="inlineStr">
        <is>
          <t>nynorsk</t>
        </is>
      </c>
      <c r="D6" s="8" t="inlineStr">
        <is>
          <t>bokmål / nynorsk</t>
        </is>
      </c>
    </row>
    <row r="7" ht="22" customHeight="1">
      <c r="B7" s="6" t="inlineStr">
        <is>
          <t>Profilfarge</t>
        </is>
      </c>
      <c r="C7" s="9" t="inlineStr">
        <is>
          <t>#0093C9</t>
        </is>
      </c>
      <c r="D7" s="8" t="inlineStr">
        <is>
          <t>← fargen skulen sin profil bruker</t>
        </is>
      </c>
    </row>
    <row r="8" ht="22" customHeight="1">
      <c r="B8" s="6" t="inlineStr">
        <is>
          <t>Logo (filnamn)</t>
        </is>
      </c>
      <c r="C8" s="7" t="inlineStr">
        <is>
          <t>profil/logo.png</t>
        </is>
      </c>
      <c r="D8" s="8" t="inlineStr">
        <is>
          <t>← ligg i same mappe som denne fila</t>
        </is>
      </c>
    </row>
    <row r="11">
      <c r="B11" s="10" t="inlineStr">
        <is>
          <t>Klassar</t>
        </is>
      </c>
      <c r="C11" s="10" t="inlineStr">
        <is>
          <t>Møte</t>
        </is>
      </c>
      <c r="D11" s="10" t="inlineStr">
        <is>
          <t>Dato</t>
        </is>
      </c>
      <c r="F11" s="10" t="inlineStr">
        <is>
          <t>Område</t>
        </is>
      </c>
      <c r="G11" s="10" t="inlineStr">
        <is>
          <t>Kva vi ser etter</t>
        </is>
      </c>
    </row>
    <row r="12">
      <c r="B12" s="11" t="inlineStr">
        <is>
          <t>1ID</t>
        </is>
      </c>
      <c r="C12" s="11" t="inlineStr">
        <is>
          <t>1 · Haust</t>
        </is>
      </c>
      <c r="D12" s="12" t="n">
        <v>46282</v>
      </c>
      <c r="F12" s="11" t="inlineStr">
        <is>
          <t>Frammøte</t>
        </is>
      </c>
      <c r="G12" s="13" t="inlineStr">
        <is>
          <t>Fråvær, for sein komming, timar eleven ikkje er i</t>
        </is>
      </c>
    </row>
    <row r="13">
      <c r="B13" s="11" t="inlineStr">
        <is>
          <t>1HO</t>
        </is>
      </c>
      <c r="C13" s="11" t="inlineStr">
        <is>
          <t>2 · Før jul</t>
        </is>
      </c>
      <c r="D13" s="12" t="n">
        <v>46352</v>
      </c>
      <c r="F13" s="11" t="inlineStr">
        <is>
          <t>Fagleg utvikling</t>
        </is>
      </c>
      <c r="G13" s="13" t="inlineStr">
        <is>
          <t>Måloppnåing, fare for IV, behov for tilrettelegging</t>
        </is>
      </c>
    </row>
    <row r="14">
      <c r="B14" s="11" t="inlineStr">
        <is>
          <t>2AKV/FF</t>
        </is>
      </c>
      <c r="C14" s="14" t="n"/>
      <c r="D14" s="15" t="n"/>
      <c r="F14" s="11" t="inlineStr">
        <is>
          <t>Arbeidsinnsats</t>
        </is>
      </c>
      <c r="G14" s="13" t="inlineStr">
        <is>
          <t>Innleveringar, innsats i timane, utstyr og bøker med</t>
        </is>
      </c>
    </row>
    <row r="15">
      <c r="B15" s="14" t="n"/>
      <c r="C15" s="14" t="n"/>
      <c r="D15" s="15" t="n"/>
      <c r="F15" s="11" t="inlineStr">
        <is>
          <t>Motivasjon</t>
        </is>
      </c>
      <c r="G15" s="13" t="inlineStr">
        <is>
          <t>Retning, meistringstru, om eleven vil vere her</t>
        </is>
      </c>
    </row>
    <row r="16">
      <c r="B16" s="14" t="n"/>
      <c r="C16" s="14" t="n"/>
      <c r="D16" s="15" t="n"/>
      <c r="F16" s="11" t="inlineStr">
        <is>
          <t>Trivsel</t>
        </is>
      </c>
      <c r="G16" s="13" t="inlineStr">
        <is>
          <t>Korleis eleven har det på skulen</t>
        </is>
      </c>
    </row>
    <row r="17">
      <c r="B17" s="14" t="n"/>
      <c r="C17" s="14" t="n"/>
      <c r="D17" s="15" t="n"/>
      <c r="F17" s="11" t="inlineStr">
        <is>
          <t>Klassemiljø</t>
        </is>
      </c>
      <c r="G17" s="13" t="inlineStr">
        <is>
          <t>Relasjonar, tilhøyrsle, utanforskap</t>
        </is>
      </c>
    </row>
    <row r="18">
      <c r="B18" s="14" t="n"/>
      <c r="C18" s="14" t="n"/>
      <c r="D18" s="15" t="n"/>
      <c r="F18" s="11" t="inlineStr">
        <is>
          <t>Heim og føresette</t>
        </is>
      </c>
      <c r="G18" s="13" t="inlineStr">
        <is>
          <t>Kontakt, samarbeid, informasjonsflyt</t>
        </is>
      </c>
    </row>
    <row r="19">
      <c r="B19" s="14" t="n"/>
      <c r="C19" s="14" t="n"/>
      <c r="D19" s="15" t="n"/>
      <c r="F19" s="11" t="inlineStr">
        <is>
          <t>Praktiske forhold</t>
        </is>
      </c>
      <c r="G19" s="13" t="inlineStr">
        <is>
          <t>Skyss, bustad, utstyr, økonomi</t>
        </is>
      </c>
    </row>
    <row r="20">
      <c r="B20" s="14" t="n"/>
      <c r="C20" s="14" t="n"/>
      <c r="D20" s="15" t="n"/>
      <c r="F20" s="14" t="n"/>
      <c r="G20" s="14" t="n"/>
    </row>
    <row r="21">
      <c r="B21" s="14" t="n"/>
      <c r="C21" s="14" t="n"/>
      <c r="D21" s="15" t="n"/>
      <c r="F21" s="14" t="n"/>
      <c r="G21" s="14" t="n"/>
    </row>
    <row r="22">
      <c r="B22" s="14" t="n"/>
      <c r="C22" s="14" t="n"/>
      <c r="D22" s="15" t="n"/>
      <c r="F22" s="14" t="n"/>
      <c r="G22" s="14" t="n"/>
    </row>
    <row r="23">
      <c r="B23" s="14" t="n"/>
      <c r="C23" s="14" t="n"/>
      <c r="D23" s="15" t="n"/>
      <c r="F23" s="14" t="n"/>
      <c r="G23" s="14" t="n"/>
    </row>
    <row r="24">
      <c r="B24" s="14" t="n"/>
      <c r="C24" s="14" t="n"/>
      <c r="D24" s="15" t="n"/>
      <c r="F24" s="14" t="n"/>
      <c r="G24" s="14" t="n"/>
    </row>
    <row r="25">
      <c r="B25" s="14" t="n"/>
      <c r="C25" s="14" t="n"/>
      <c r="D25" s="15" t="n"/>
      <c r="F25" s="14" t="n"/>
      <c r="G25" s="14" t="n"/>
    </row>
    <row r="26">
      <c r="B26" s="14" t="n"/>
      <c r="C26" s="14" t="n"/>
      <c r="D26" s="15" t="n"/>
      <c r="F26" s="14" t="n"/>
      <c r="G26" s="14" t="n"/>
    </row>
    <row r="27">
      <c r="B27" s="14" t="n"/>
      <c r="C27" s="14" t="n"/>
      <c r="D27" s="15" t="n"/>
      <c r="F27" s="14" t="n"/>
      <c r="G27" s="14" t="n"/>
    </row>
    <row r="28">
      <c r="B28" s="14" t="n"/>
      <c r="C28" s="14" t="n"/>
      <c r="D28" s="15" t="n"/>
      <c r="F28" s="14" t="n"/>
      <c r="G28" s="14" t="n"/>
    </row>
    <row r="29">
      <c r="B29" s="14" t="n"/>
      <c r="C29" s="14" t="n"/>
      <c r="D29" s="15" t="n"/>
      <c r="F29" s="14" t="n"/>
      <c r="G29" s="14" t="n"/>
    </row>
    <row r="30">
      <c r="B30" s="14" t="n"/>
      <c r="C30" s="14" t="n"/>
      <c r="D30" s="15" t="n"/>
      <c r="F30" s="14" t="n"/>
      <c r="G30" s="14" t="n"/>
    </row>
    <row r="31">
      <c r="B31" s="14" t="n"/>
      <c r="C31" s="14" t="n"/>
      <c r="D31" s="15" t="n"/>
      <c r="F31" s="14" t="n"/>
      <c r="G31" s="14" t="n"/>
    </row>
    <row r="32">
      <c r="B32" s="14" t="n"/>
      <c r="F32" s="14" t="n"/>
      <c r="G32" s="14" t="n"/>
    </row>
    <row r="33">
      <c r="B33" s="14" t="n"/>
      <c r="C33" s="8" t="inlineStr">
        <is>
          <t>← eitt møte per rad, nyaste nedst</t>
        </is>
      </c>
      <c r="F33" s="14" t="n"/>
      <c r="G33" s="14" t="n"/>
    </row>
    <row r="34">
      <c r="B34" s="14" t="n"/>
      <c r="F34" s="14" t="n"/>
      <c r="G34" s="14" t="n"/>
    </row>
    <row r="35">
      <c r="B35" s="14" t="n"/>
      <c r="F35" s="14" t="n"/>
      <c r="G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  <row r="42">
      <c r="B42" s="14" t="n"/>
    </row>
    <row r="43">
      <c r="B43" s="14" t="n"/>
    </row>
    <row r="44">
      <c r="B44" s="14" t="n"/>
    </row>
    <row r="45">
      <c r="B45" s="14" t="n"/>
    </row>
    <row r="46">
      <c r="B46" s="14" t="n"/>
    </row>
    <row r="47">
      <c r="B47" s="14" t="n"/>
    </row>
    <row r="48">
      <c r="B48" s="14" t="n"/>
    </row>
    <row r="49">
      <c r="B49" s="14" t="n"/>
    </row>
    <row r="50">
      <c r="B50" s="14" t="n"/>
    </row>
    <row r="51">
      <c r="B51" s="14" t="n"/>
    </row>
    <row r="52">
      <c r="B52" s="14" t="n"/>
    </row>
    <row r="53">
      <c r="B53" s="14" t="n"/>
    </row>
    <row r="54">
      <c r="B54" s="14" t="n"/>
    </row>
    <row r="55">
      <c r="B55" s="14" t="n"/>
    </row>
    <row r="56">
      <c r="B56" s="14" t="n"/>
    </row>
    <row r="57">
      <c r="B57" s="14" t="n"/>
    </row>
    <row r="58">
      <c r="B58" s="14" t="n"/>
    </row>
    <row r="59">
      <c r="B59" s="14" t="n"/>
    </row>
    <row r="60">
      <c r="B60" s="14" t="n"/>
    </row>
    <row r="61">
      <c r="B61" s="14" t="n"/>
    </row>
    <row r="62">
      <c r="B62" s="14" t="n"/>
    </row>
    <row r="63">
      <c r="B63" s="14" t="n"/>
    </row>
    <row r="64">
      <c r="B64" s="14" t="n"/>
    </row>
    <row r="65">
      <c r="B65" s="14" t="n"/>
    </row>
    <row r="66">
      <c r="B66" s="14" t="n"/>
    </row>
    <row r="67">
      <c r="B67" s="14" t="n"/>
    </row>
    <row r="68">
      <c r="B68" s="14" t="n"/>
    </row>
    <row r="69">
      <c r="B69" s="14" t="n"/>
    </row>
    <row r="70">
      <c r="B70" s="14" t="n"/>
    </row>
    <row r="71">
      <c r="B71" s="14" t="n"/>
    </row>
  </sheetData>
  <dataValidations count="1">
    <dataValidation sqref="C6" showDropDown="0" showInputMessage="1" showErrorMessage="0" allowBlank="1" promptTitle="Velg fra lista" prompt="bokmål eller nynorsk" type="list">
      <formula1>Malformer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 ht="26" customHeight="1">
      <c r="A1" s="16" t="inlineStr">
        <is>
          <t>1ID</t>
        </is>
      </c>
      <c r="B1" s="16" t="inlineStr">
        <is>
          <t>1HO</t>
        </is>
      </c>
      <c r="C1" s="16" t="inlineStr">
        <is>
          <t>2AKV/FF</t>
        </is>
      </c>
    </row>
    <row r="2">
      <c r="A2" s="17" t="inlineStr">
        <is>
          <t>Amalie Røsberg</t>
        </is>
      </c>
      <c r="B2" s="17" t="inlineStr">
        <is>
          <t>Andrea Lyngstad</t>
        </is>
      </c>
      <c r="C2" s="17" t="inlineStr">
        <is>
          <t>Adrian Skotheim</t>
        </is>
      </c>
    </row>
    <row r="3">
      <c r="A3" s="17" t="inlineStr">
        <is>
          <t>Brage Settem</t>
        </is>
      </c>
      <c r="B3" s="17" t="inlineStr">
        <is>
          <t>Emil Solheim</t>
        </is>
      </c>
      <c r="C3" s="17" t="inlineStr">
        <is>
          <t>Benedikte Haukås</t>
        </is>
      </c>
    </row>
    <row r="4">
      <c r="A4" s="17" t="inlineStr">
        <is>
          <t>Eline Vevang</t>
        </is>
      </c>
      <c r="B4" s="17" t="inlineStr">
        <is>
          <t>Frida Oppheim</t>
        </is>
      </c>
      <c r="C4" s="17" t="inlineStr">
        <is>
          <t>Casper Rødset</t>
        </is>
      </c>
    </row>
    <row r="5">
      <c r="A5" s="17" t="inlineStr">
        <is>
          <t>Håkon Tornes</t>
        </is>
      </c>
      <c r="B5" s="17" t="inlineStr">
        <is>
          <t>Isak Nerland</t>
        </is>
      </c>
      <c r="C5" s="17" t="inlineStr">
        <is>
          <t>Dina Fladset</t>
        </is>
      </c>
    </row>
    <row r="6">
      <c r="A6" s="17" t="inlineStr">
        <is>
          <t>Ingrid Malmedal</t>
        </is>
      </c>
      <c r="B6" s="17" t="inlineStr">
        <is>
          <t>Julie Storli</t>
        </is>
      </c>
      <c r="C6" s="17" t="inlineStr">
        <is>
          <t>Elias Vorpenes</t>
        </is>
      </c>
    </row>
    <row r="7">
      <c r="A7" s="17" t="inlineStr">
        <is>
          <t>Jonas Bergset</t>
        </is>
      </c>
      <c r="B7" s="17" t="inlineStr">
        <is>
          <t>Kristian Aandahl</t>
        </is>
      </c>
      <c r="C7" s="17" t="inlineStr">
        <is>
          <t>Hanna Bjørnerem</t>
        </is>
      </c>
    </row>
    <row r="8">
      <c r="A8" s="17" t="inlineStr">
        <is>
          <t>Kaia Sylte</t>
        </is>
      </c>
      <c r="B8" s="17" t="inlineStr">
        <is>
          <t>Linnea Myrbø</t>
        </is>
      </c>
      <c r="C8" s="17" t="inlineStr">
        <is>
          <t>Iver Sandvik</t>
        </is>
      </c>
    </row>
    <row r="9">
      <c r="A9" s="17" t="inlineStr">
        <is>
          <t>Leon Farstad</t>
        </is>
      </c>
      <c r="B9" s="17" t="inlineStr">
        <is>
          <t>Marius Hjelset</t>
        </is>
      </c>
      <c r="C9" s="17" t="inlineStr">
        <is>
          <t>Live Kjønnø</t>
        </is>
      </c>
    </row>
    <row r="10">
      <c r="A10" s="17" t="inlineStr">
        <is>
          <t>Mathea Gjendem</t>
        </is>
      </c>
      <c r="B10" s="17" t="inlineStr">
        <is>
          <t>Nora Elvebakk</t>
        </is>
      </c>
      <c r="C10" s="17" t="inlineStr">
        <is>
          <t>Magnus Hasselø</t>
        </is>
      </c>
    </row>
    <row r="11">
      <c r="A11" s="17" t="inlineStr">
        <is>
          <t>Noah Silseth</t>
        </is>
      </c>
      <c r="B11" s="17" t="inlineStr">
        <is>
          <t>Oliver Rakvåg</t>
        </is>
      </c>
      <c r="C11" s="17" t="inlineStr">
        <is>
          <t>Ronja Bugge</t>
        </is>
      </c>
    </row>
    <row r="12">
      <c r="A12" s="17" t="inlineStr">
        <is>
          <t>Oda Hoem</t>
        </is>
      </c>
      <c r="B12" s="17" t="inlineStr">
        <is>
          <t>Selma Otterlei</t>
        </is>
      </c>
      <c r="C12" s="17" t="inlineStr">
        <is>
          <t>Simen Talberg</t>
        </is>
      </c>
    </row>
    <row r="13">
      <c r="A13" s="17" t="inlineStr">
        <is>
          <t>Sander Vikan</t>
        </is>
      </c>
      <c r="B13" s="17" t="inlineStr">
        <is>
          <t>Tobias Kvalvåg</t>
        </is>
      </c>
      <c r="C13" s="17" t="inlineStr">
        <is>
          <t>Vilde Aarset</t>
        </is>
      </c>
    </row>
    <row r="14">
      <c r="A14" s="17" t="n"/>
      <c r="B14" s="17" t="n"/>
      <c r="C14" s="17" t="n"/>
    </row>
    <row r="15">
      <c r="A15" s="17" t="n"/>
      <c r="B15" s="17" t="n"/>
      <c r="C15" s="17" t="n"/>
    </row>
    <row r="16">
      <c r="A16" s="17" t="n"/>
      <c r="B16" s="17" t="n"/>
      <c r="C16" s="17" t="n"/>
    </row>
    <row r="17">
      <c r="A17" s="17" t="n"/>
      <c r="B17" s="17" t="n"/>
      <c r="C17" s="17" t="n"/>
    </row>
    <row r="18">
      <c r="A18" s="17" t="n"/>
      <c r="B18" s="17" t="n"/>
      <c r="C18" s="17" t="n"/>
    </row>
    <row r="19">
      <c r="A19" s="17" t="n"/>
      <c r="B19" s="17" t="n"/>
      <c r="C19" s="17" t="n"/>
    </row>
    <row r="20">
      <c r="A20" s="17" t="n"/>
      <c r="B20" s="17" t="n"/>
      <c r="C20" s="17" t="n"/>
    </row>
    <row r="21">
      <c r="A21" s="17" t="n"/>
      <c r="B21" s="17" t="n"/>
      <c r="C21" s="17" t="n"/>
    </row>
    <row r="22">
      <c r="A22" s="17" t="n"/>
      <c r="B22" s="17" t="n"/>
      <c r="C22" s="17" t="n"/>
    </row>
    <row r="23">
      <c r="A23" s="17" t="n"/>
      <c r="B23" s="17" t="n"/>
      <c r="C23" s="17" t="n"/>
    </row>
    <row r="24">
      <c r="A24" s="17" t="n"/>
      <c r="B24" s="17" t="n"/>
      <c r="C24" s="17" t="n"/>
    </row>
    <row r="25">
      <c r="A25" s="17" t="n"/>
      <c r="B25" s="17" t="n"/>
      <c r="C25" s="17" t="n"/>
    </row>
    <row r="26">
      <c r="A26" s="17" t="n"/>
      <c r="B26" s="17" t="n"/>
      <c r="C26" s="17" t="n"/>
    </row>
    <row r="27">
      <c r="A27" s="17" t="n"/>
      <c r="B27" s="17" t="n"/>
      <c r="C27" s="17" t="n"/>
    </row>
    <row r="28">
      <c r="A28" s="17" t="n"/>
      <c r="B28" s="17" t="n"/>
      <c r="C28" s="17" t="n"/>
    </row>
    <row r="29">
      <c r="A29" s="17" t="n"/>
      <c r="B29" s="17" t="n"/>
      <c r="C29" s="17" t="n"/>
    </row>
    <row r="30">
      <c r="A30" s="17" t="n"/>
      <c r="B30" s="17" t="n"/>
      <c r="C30" s="17" t="n"/>
    </row>
    <row r="31">
      <c r="A31" s="17" t="n"/>
      <c r="B31" s="17" t="n"/>
      <c r="C31" s="17" t="n"/>
    </row>
    <row r="32">
      <c r="A32" s="17" t="n"/>
      <c r="B32" s="17" t="n"/>
      <c r="C32" s="17" t="n"/>
    </row>
    <row r="33">
      <c r="A33" s="17" t="n"/>
      <c r="B33" s="17" t="n"/>
      <c r="C33" s="17" t="n"/>
    </row>
    <row r="34">
      <c r="A34" s="17" t="n"/>
      <c r="B34" s="17" t="n"/>
      <c r="C34" s="17" t="n"/>
    </row>
    <row r="35">
      <c r="A35" s="17" t="n"/>
      <c r="B35" s="17" t="n"/>
      <c r="C35" s="17" t="n"/>
    </row>
    <row r="36">
      <c r="A36" s="17" t="n"/>
      <c r="B36" s="17" t="n"/>
      <c r="C36" s="17" t="n"/>
    </row>
    <row r="37">
      <c r="A37" s="17" t="n"/>
      <c r="B37" s="17" t="n"/>
      <c r="C37" s="17" t="n"/>
    </row>
    <row r="38">
      <c r="A38" s="17" t="n"/>
      <c r="B38" s="17" t="n"/>
      <c r="C38" s="17" t="n"/>
    </row>
    <row r="39">
      <c r="A39" s="17" t="n"/>
      <c r="B39" s="17" t="n"/>
      <c r="C39" s="17" t="n"/>
    </row>
    <row r="40">
      <c r="A40" s="17" t="n"/>
      <c r="B40" s="17" t="n"/>
      <c r="C40" s="17" t="n"/>
    </row>
    <row r="41">
      <c r="A41" s="17" t="n"/>
      <c r="B41" s="17" t="n"/>
      <c r="C41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6" customWidth="1" min="3" max="3"/>
    <col width="26" customWidth="1" min="4" max="4"/>
    <col width="12" customWidth="1" min="5" max="5"/>
    <col width="64" customWidth="1" min="6" max="6"/>
    <col width="20" customWidth="1" min="7" max="7"/>
    <col hidden="1" width="13" customWidth="1" min="8" max="8"/>
    <col hidden="1" width="13" customWidth="1" min="9" max="9"/>
  </cols>
  <sheetData>
    <row r="1" ht="26" customHeight="1">
      <c r="A1" s="16" t="inlineStr">
        <is>
          <t>Møte</t>
        </is>
      </c>
      <c r="B1" s="16" t="inlineStr">
        <is>
          <t>Klasse</t>
        </is>
      </c>
      <c r="C1" s="16" t="inlineStr">
        <is>
          <t>Elev</t>
        </is>
      </c>
      <c r="D1" s="16" t="inlineStr">
        <is>
          <t>Område</t>
        </is>
      </c>
      <c r="E1" s="16" t="inlineStr">
        <is>
          <t>Lys</t>
        </is>
      </c>
      <c r="F1" s="16" t="inlineStr">
        <is>
          <t>Merknad</t>
        </is>
      </c>
      <c r="G1" s="16" t="inlineStr">
        <is>
          <t>Lærar</t>
        </is>
      </c>
      <c r="H1" t="inlineStr">
        <is>
          <t>Lysverdi</t>
        </is>
      </c>
      <c r="I1" t="inlineStr">
        <is>
          <t>Elevkort</t>
        </is>
      </c>
    </row>
    <row r="2" ht="20" customHeight="1">
      <c r="A2" s="18" t="inlineStr">
        <is>
          <t>1 · Haust</t>
        </is>
      </c>
      <c r="B2" s="18" t="inlineStr">
        <is>
          <t>1ID</t>
        </is>
      </c>
      <c r="C2" s="18" t="inlineStr">
        <is>
          <t>Brage Settem</t>
        </is>
      </c>
      <c r="D2" s="18" t="inlineStr">
        <is>
          <t>Frammøte</t>
        </is>
      </c>
      <c r="E2" s="18" t="inlineStr">
        <is>
          <t>Raudt</t>
        </is>
      </c>
      <c r="F2" s="19" t="inlineStr">
        <is>
          <t>14 timar udokumentert fråvær på seks veker, mest måndag første time.</t>
        </is>
      </c>
      <c r="G2" s="18" t="inlineStr">
        <is>
          <t>K. Meringdal</t>
        </is>
      </c>
      <c r="H2">
        <f>IF(OR($E2="Raudt",$E2="Rødt",$E2="Raud",$E2="Rød"),3,IF($E2="Gult",2,IF(OR($E2="Grønt",$E2="Grøn",$E2="Grønn"),1,0)))</f>
        <v/>
      </c>
      <c r="I2">
        <f>IF(AND($C2&lt;&gt;"",$A2='Oversikt'!$C$4,$B2='Oversikt'!$C$5,$C2='Elevkort'!$C$4),MAX(I$1:I1)+1,"")</f>
        <v/>
      </c>
    </row>
    <row r="3" ht="20" customHeight="1">
      <c r="A3" s="18" t="inlineStr">
        <is>
          <t>1 · Haust</t>
        </is>
      </c>
      <c r="B3" s="18" t="inlineStr">
        <is>
          <t>1ID</t>
        </is>
      </c>
      <c r="C3" s="18" t="inlineStr">
        <is>
          <t>Brage Settem</t>
        </is>
      </c>
      <c r="D3" s="18" t="inlineStr">
        <is>
          <t>Arbeidsinnsats</t>
        </is>
      </c>
      <c r="E3" s="18" t="inlineStr">
        <is>
          <t>Gult</t>
        </is>
      </c>
      <c r="F3" s="19" t="inlineStr">
        <is>
          <t>Har ikkje levert dei to siste innleveringane i norsk.</t>
        </is>
      </c>
      <c r="G3" s="18" t="inlineStr">
        <is>
          <t>M. Sæther</t>
        </is>
      </c>
      <c r="H3">
        <f>IF(OR($E3="Raudt",$E3="Rødt",$E3="Raud",$E3="Rød"),3,IF($E3="Gult",2,IF(OR($E3="Grønt",$E3="Grøn",$E3="Grønn"),1,0)))</f>
        <v/>
      </c>
      <c r="I3">
        <f>IF(AND($C3&lt;&gt;"",$A3='Oversikt'!$C$4,$B3='Oversikt'!$C$5,$C3='Elevkort'!$C$4),MAX(I$1:I2)+1,"")</f>
        <v/>
      </c>
    </row>
    <row r="4" ht="20" customHeight="1">
      <c r="A4" s="18" t="inlineStr">
        <is>
          <t>1 · Haust</t>
        </is>
      </c>
      <c r="B4" s="18" t="inlineStr">
        <is>
          <t>1ID</t>
        </is>
      </c>
      <c r="C4" s="18" t="inlineStr">
        <is>
          <t>Brage Settem</t>
        </is>
      </c>
      <c r="D4" s="18" t="inlineStr">
        <is>
          <t>Motivasjon</t>
        </is>
      </c>
      <c r="E4" s="18" t="inlineStr">
        <is>
          <t>Gult</t>
        </is>
      </c>
      <c r="F4" s="19" t="inlineStr">
        <is>
          <t>Seier sjølv at han er usikker på om han har valt rett programområde.</t>
        </is>
      </c>
      <c r="G4" s="18" t="inlineStr">
        <is>
          <t>K. Meringdal</t>
        </is>
      </c>
      <c r="H4">
        <f>IF(OR($E4="Raudt",$E4="Rødt",$E4="Raud",$E4="Rød"),3,IF($E4="Gult",2,IF(OR($E4="Grønt",$E4="Grøn",$E4="Grønn"),1,0)))</f>
        <v/>
      </c>
      <c r="I4">
        <f>IF(AND($C4&lt;&gt;"",$A4='Oversikt'!$C$4,$B4='Oversikt'!$C$5,$C4='Elevkort'!$C$4),MAX(I$1:I3)+1,"")</f>
        <v/>
      </c>
    </row>
    <row r="5" ht="20" customHeight="1">
      <c r="A5" s="18" t="inlineStr">
        <is>
          <t>1 · Haust</t>
        </is>
      </c>
      <c r="B5" s="18" t="inlineStr">
        <is>
          <t>1ID</t>
        </is>
      </c>
      <c r="C5" s="18" t="inlineStr">
        <is>
          <t>Eline Vevang</t>
        </is>
      </c>
      <c r="D5" s="18" t="inlineStr">
        <is>
          <t>Fagleg utvikling</t>
        </is>
      </c>
      <c r="E5" s="18" t="inlineStr">
        <is>
          <t>Gult</t>
        </is>
      </c>
      <c r="F5" s="19" t="inlineStr">
        <is>
          <t>Ligg an til låg måloppnåing i matematikk. Får ikkje tid nok på prøvene.</t>
        </is>
      </c>
      <c r="G5" s="18" t="inlineStr">
        <is>
          <t>T. Rødal</t>
        </is>
      </c>
      <c r="H5">
        <f>IF(OR($E5="Raudt",$E5="Rødt",$E5="Raud",$E5="Rød"),3,IF($E5="Gult",2,IF(OR($E5="Grønt",$E5="Grøn",$E5="Grønn"),1,0)))</f>
        <v/>
      </c>
      <c r="I5">
        <f>IF(AND($C5&lt;&gt;"",$A5='Oversikt'!$C$4,$B5='Oversikt'!$C$5,$C5='Elevkort'!$C$4),MAX(I$1:I4)+1,"")</f>
        <v/>
      </c>
    </row>
    <row r="6" ht="20" customHeight="1">
      <c r="A6" s="18" t="inlineStr">
        <is>
          <t>1 · Haust</t>
        </is>
      </c>
      <c r="B6" s="18" t="inlineStr">
        <is>
          <t>1ID</t>
        </is>
      </c>
      <c r="C6" s="18" t="inlineStr">
        <is>
          <t>Eline Vevang</t>
        </is>
      </c>
      <c r="D6" s="18" t="inlineStr">
        <is>
          <t>Praktiske forhold</t>
        </is>
      </c>
      <c r="E6" s="18" t="inlineStr">
        <is>
          <t>Gult</t>
        </is>
      </c>
      <c r="F6" s="19" t="inlineStr">
        <is>
          <t>Lang skyss, kjem 10 minutt for seint tre dagar i veka. Bussen rekk ikkje.</t>
        </is>
      </c>
      <c r="G6" s="18" t="inlineStr">
        <is>
          <t>K. Meringdal</t>
        </is>
      </c>
      <c r="H6">
        <f>IF(OR($E6="Raudt",$E6="Rødt",$E6="Raud",$E6="Rød"),3,IF($E6="Gult",2,IF(OR($E6="Grønt",$E6="Grøn",$E6="Grønn"),1,0)))</f>
        <v/>
      </c>
      <c r="I6">
        <f>IF(AND($C6&lt;&gt;"",$A6='Oversikt'!$C$4,$B6='Oversikt'!$C$5,$C6='Elevkort'!$C$4),MAX(I$1:I5)+1,"")</f>
        <v/>
      </c>
    </row>
    <row r="7" ht="20" customHeight="1">
      <c r="A7" s="18" t="inlineStr">
        <is>
          <t>1 · Haust</t>
        </is>
      </c>
      <c r="B7" s="18" t="inlineStr">
        <is>
          <t>1ID</t>
        </is>
      </c>
      <c r="C7" s="18" t="inlineStr">
        <is>
          <t>Kaia Sylte</t>
        </is>
      </c>
      <c r="D7" s="18" t="inlineStr">
        <is>
          <t>Trivsel</t>
        </is>
      </c>
      <c r="E7" s="18" t="inlineStr">
        <is>
          <t>Raudt</t>
        </is>
      </c>
      <c r="F7" s="19" t="inlineStr">
        <is>
          <t>Sit åleine i pausane. Har sagt til meg at ho gruar seg til skulen.</t>
        </is>
      </c>
      <c r="G7" s="18" t="inlineStr">
        <is>
          <t>K. Meringdal</t>
        </is>
      </c>
      <c r="H7">
        <f>IF(OR($E7="Raudt",$E7="Rødt",$E7="Raud",$E7="Rød"),3,IF($E7="Gult",2,IF(OR($E7="Grønt",$E7="Grøn",$E7="Grønn"),1,0)))</f>
        <v/>
      </c>
      <c r="I7">
        <f>IF(AND($C7&lt;&gt;"",$A7='Oversikt'!$C$4,$B7='Oversikt'!$C$5,$C7='Elevkort'!$C$4),MAX(I$1:I6)+1,"")</f>
        <v/>
      </c>
    </row>
    <row r="8" ht="20" customHeight="1">
      <c r="A8" s="18" t="inlineStr">
        <is>
          <t>1 · Haust</t>
        </is>
      </c>
      <c r="B8" s="18" t="inlineStr">
        <is>
          <t>1ID</t>
        </is>
      </c>
      <c r="C8" s="18" t="inlineStr">
        <is>
          <t>Kaia Sylte</t>
        </is>
      </c>
      <c r="D8" s="18" t="inlineStr">
        <is>
          <t>Klassemiljø</t>
        </is>
      </c>
      <c r="E8" s="18" t="inlineStr">
        <is>
          <t>Gult</t>
        </is>
      </c>
      <c r="F8" s="19" t="inlineStr">
        <is>
          <t>Blir ikkje plukka når klassen deler seg i grupper.</t>
        </is>
      </c>
      <c r="G8" s="18" t="inlineStr">
        <is>
          <t>A. Hovde</t>
        </is>
      </c>
      <c r="H8">
        <f>IF(OR($E8="Raudt",$E8="Rødt",$E8="Raud",$E8="Rød"),3,IF($E8="Gult",2,IF(OR($E8="Grønt",$E8="Grøn",$E8="Grønn"),1,0)))</f>
        <v/>
      </c>
      <c r="I8">
        <f>IF(AND($C8&lt;&gt;"",$A8='Oversikt'!$C$4,$B8='Oversikt'!$C$5,$C8='Elevkort'!$C$4),MAX(I$1:I7)+1,"")</f>
        <v/>
      </c>
    </row>
    <row r="9" ht="20" customHeight="1">
      <c r="A9" s="18" t="inlineStr">
        <is>
          <t>1 · Haust</t>
        </is>
      </c>
      <c r="B9" s="18" t="inlineStr">
        <is>
          <t>1ID</t>
        </is>
      </c>
      <c r="C9" s="18" t="inlineStr">
        <is>
          <t>Leon Farstad</t>
        </is>
      </c>
      <c r="D9" s="18" t="inlineStr">
        <is>
          <t>Arbeidsinnsats</t>
        </is>
      </c>
      <c r="E9" s="18" t="inlineStr">
        <is>
          <t>Gult</t>
        </is>
      </c>
      <c r="F9" s="19" t="inlineStr">
        <is>
          <t>Gløymer bøker og utstyr. Kjem ofte utan noko å skrive med.</t>
        </is>
      </c>
      <c r="G9" s="18" t="inlineStr">
        <is>
          <t>T. Rødal</t>
        </is>
      </c>
      <c r="H9">
        <f>IF(OR($E9="Raudt",$E9="Rødt",$E9="Raud",$E9="Rød"),3,IF($E9="Gult",2,IF(OR($E9="Grønt",$E9="Grøn",$E9="Grønn"),1,0)))</f>
        <v/>
      </c>
      <c r="I9">
        <f>IF(AND($C9&lt;&gt;"",$A9='Oversikt'!$C$4,$B9='Oversikt'!$C$5,$C9='Elevkort'!$C$4),MAX(I$1:I8)+1,"")</f>
        <v/>
      </c>
    </row>
    <row r="10" ht="20" customHeight="1">
      <c r="A10" s="18" t="inlineStr">
        <is>
          <t>1 · Haust</t>
        </is>
      </c>
      <c r="B10" s="18" t="inlineStr">
        <is>
          <t>1ID</t>
        </is>
      </c>
      <c r="C10" s="18" t="inlineStr">
        <is>
          <t>Noah Silseth</t>
        </is>
      </c>
      <c r="D10" s="18" t="inlineStr">
        <is>
          <t>Fagleg utvikling</t>
        </is>
      </c>
      <c r="E10" s="18" t="inlineStr">
        <is>
          <t>Gult</t>
        </is>
      </c>
      <c r="F10" s="19" t="inlineStr">
        <is>
          <t>Slit med lesing av lange tekstar. Bør prøvast for tilrettelegging.</t>
        </is>
      </c>
      <c r="G10" s="18" t="inlineStr">
        <is>
          <t>M. Sæther</t>
        </is>
      </c>
      <c r="H10">
        <f>IF(OR($E10="Raudt",$E10="Rødt",$E10="Raud",$E10="Rød"),3,IF($E10="Gult",2,IF(OR($E10="Grønt",$E10="Grøn",$E10="Grønn"),1,0)))</f>
        <v/>
      </c>
      <c r="I10">
        <f>IF(AND($C10&lt;&gt;"",$A10='Oversikt'!$C$4,$B10='Oversikt'!$C$5,$C10='Elevkort'!$C$4),MAX(I$1:I9)+1,"")</f>
        <v/>
      </c>
    </row>
    <row r="11" ht="20" customHeight="1">
      <c r="A11" s="18" t="inlineStr">
        <is>
          <t>1 · Haust</t>
        </is>
      </c>
      <c r="B11" s="18" t="inlineStr">
        <is>
          <t>1ID</t>
        </is>
      </c>
      <c r="C11" s="18" t="inlineStr">
        <is>
          <t>Sander Vikan</t>
        </is>
      </c>
      <c r="D11" s="18" t="inlineStr">
        <is>
          <t>Frammøte</t>
        </is>
      </c>
      <c r="E11" s="18" t="inlineStr">
        <is>
          <t>Gult</t>
        </is>
      </c>
      <c r="F11" s="19" t="inlineStr">
        <is>
          <t>Seks einskildtimar borte, alle etter lunsj.</t>
        </is>
      </c>
      <c r="G11" s="18" t="inlineStr">
        <is>
          <t>K. Meringdal</t>
        </is>
      </c>
      <c r="H11">
        <f>IF(OR($E11="Raudt",$E11="Rødt",$E11="Raud",$E11="Rød"),3,IF($E11="Gult",2,IF(OR($E11="Grønt",$E11="Grøn",$E11="Grønn"),1,0)))</f>
        <v/>
      </c>
      <c r="I11">
        <f>IF(AND($C11&lt;&gt;"",$A11='Oversikt'!$C$4,$B11='Oversikt'!$C$5,$C11='Elevkort'!$C$4),MAX(I$1:I10)+1,"")</f>
        <v/>
      </c>
    </row>
    <row r="12" ht="20" customHeight="1">
      <c r="A12" s="18" t="inlineStr">
        <is>
          <t>1 · Haust</t>
        </is>
      </c>
      <c r="B12" s="18" t="inlineStr">
        <is>
          <t>1ID</t>
        </is>
      </c>
      <c r="C12" s="18" t="inlineStr">
        <is>
          <t>Amalie Røsberg</t>
        </is>
      </c>
      <c r="D12" s="18" t="inlineStr">
        <is>
          <t>Trivsel</t>
        </is>
      </c>
      <c r="E12" s="18" t="inlineStr">
        <is>
          <t>Grønt</t>
        </is>
      </c>
      <c r="F12" s="19" t="inlineStr">
        <is>
          <t>Har funne seg godt til rette. Nemner det berre så det er sett etter.</t>
        </is>
      </c>
      <c r="G12" s="18" t="inlineStr">
        <is>
          <t>K. Meringdal</t>
        </is>
      </c>
      <c r="H12">
        <f>IF(OR($E12="Raudt",$E12="Rødt",$E12="Raud",$E12="Rød"),3,IF($E12="Gult",2,IF(OR($E12="Grønt",$E12="Grøn",$E12="Grønn"),1,0)))</f>
        <v/>
      </c>
      <c r="I12">
        <f>IF(AND($C12&lt;&gt;"",$A12='Oversikt'!$C$4,$B12='Oversikt'!$C$5,$C12='Elevkort'!$C$4),MAX(I$1:I11)+1,"")</f>
        <v/>
      </c>
    </row>
    <row r="13" ht="20" customHeight="1">
      <c r="A13" s="18" t="inlineStr">
        <is>
          <t>1 · Haust</t>
        </is>
      </c>
      <c r="B13" s="18" t="inlineStr">
        <is>
          <t>1HO</t>
        </is>
      </c>
      <c r="C13" s="18" t="inlineStr">
        <is>
          <t>Emil Solheim</t>
        </is>
      </c>
      <c r="D13" s="18" t="inlineStr">
        <is>
          <t>Frammøte</t>
        </is>
      </c>
      <c r="E13" s="18" t="inlineStr">
        <is>
          <t>Raudt</t>
        </is>
      </c>
      <c r="F13" s="19" t="inlineStr">
        <is>
          <t>Har vore borte heile veke 36 og 37 utan melding.</t>
        </is>
      </c>
      <c r="G13" s="18" t="inlineStr">
        <is>
          <t>S. Bakken</t>
        </is>
      </c>
      <c r="H13">
        <f>IF(OR($E13="Raudt",$E13="Rødt",$E13="Raud",$E13="Rød"),3,IF($E13="Gult",2,IF(OR($E13="Grønt",$E13="Grøn",$E13="Grønn"),1,0)))</f>
        <v/>
      </c>
      <c r="I13">
        <f>IF(AND($C13&lt;&gt;"",$A13='Oversikt'!$C$4,$B13='Oversikt'!$C$5,$C13='Elevkort'!$C$4),MAX(I$1:I12)+1,"")</f>
        <v/>
      </c>
    </row>
    <row r="14" ht="20" customHeight="1">
      <c r="A14" s="18" t="inlineStr">
        <is>
          <t>1 · Haust</t>
        </is>
      </c>
      <c r="B14" s="18" t="inlineStr">
        <is>
          <t>1HO</t>
        </is>
      </c>
      <c r="C14" s="18" t="inlineStr">
        <is>
          <t>Emil Solheim</t>
        </is>
      </c>
      <c r="D14" s="18" t="inlineStr">
        <is>
          <t>Heim og føresette</t>
        </is>
      </c>
      <c r="E14" s="18" t="inlineStr">
        <is>
          <t>Gult</t>
        </is>
      </c>
      <c r="F14" s="19" t="inlineStr">
        <is>
          <t>Får ikkje kontakt med føresette på telefon. Sendt melding i Visma.</t>
        </is>
      </c>
      <c r="G14" s="18" t="inlineStr">
        <is>
          <t>S. Bakken</t>
        </is>
      </c>
      <c r="H14">
        <f>IF(OR($E14="Raudt",$E14="Rødt",$E14="Raud",$E14="Rød"),3,IF($E14="Gult",2,IF(OR($E14="Grønt",$E14="Grøn",$E14="Grønn"),1,0)))</f>
        <v/>
      </c>
      <c r="I14">
        <f>IF(AND($C14&lt;&gt;"",$A14='Oversikt'!$C$4,$B14='Oversikt'!$C$5,$C14='Elevkort'!$C$4),MAX(I$1:I13)+1,"")</f>
        <v/>
      </c>
    </row>
    <row r="15" ht="20" customHeight="1">
      <c r="A15" s="18" t="inlineStr">
        <is>
          <t>1 · Haust</t>
        </is>
      </c>
      <c r="B15" s="18" t="inlineStr">
        <is>
          <t>1HO</t>
        </is>
      </c>
      <c r="C15" s="18" t="inlineStr">
        <is>
          <t>Frida Oppheim</t>
        </is>
      </c>
      <c r="D15" s="18" t="inlineStr">
        <is>
          <t>Motivasjon</t>
        </is>
      </c>
      <c r="E15" s="18" t="inlineStr">
        <is>
          <t>Gult</t>
        </is>
      </c>
      <c r="F15" s="19" t="inlineStr">
        <is>
          <t>Seier at ho eigentleg ville på studiespesialiserande.</t>
        </is>
      </c>
      <c r="G15" s="18" t="inlineStr">
        <is>
          <t>S. Bakken</t>
        </is>
      </c>
      <c r="H15">
        <f>IF(OR($E15="Raudt",$E15="Rødt",$E15="Raud",$E15="Rød"),3,IF($E15="Gult",2,IF(OR($E15="Grønt",$E15="Grøn",$E15="Grønn"),1,0)))</f>
        <v/>
      </c>
      <c r="I15">
        <f>IF(AND($C15&lt;&gt;"",$A15='Oversikt'!$C$4,$B15='Oversikt'!$C$5,$C15='Elevkort'!$C$4),MAX(I$1:I14)+1,"")</f>
        <v/>
      </c>
    </row>
    <row r="16" ht="20" customHeight="1">
      <c r="A16" s="18" t="inlineStr">
        <is>
          <t>1 · Haust</t>
        </is>
      </c>
      <c r="B16" s="18" t="inlineStr">
        <is>
          <t>1HO</t>
        </is>
      </c>
      <c r="C16" s="18" t="inlineStr">
        <is>
          <t>Isak Nerland</t>
        </is>
      </c>
      <c r="D16" s="18" t="inlineStr">
        <is>
          <t>Arbeidsinnsats</t>
        </is>
      </c>
      <c r="E16" s="18" t="inlineStr">
        <is>
          <t>Raudt</t>
        </is>
      </c>
      <c r="F16" s="19" t="inlineStr">
        <is>
          <t>Leverer ingenting. Sit med telefonen store delar av timen.</t>
        </is>
      </c>
      <c r="G16" s="18" t="inlineStr">
        <is>
          <t>R. Hoel</t>
        </is>
      </c>
      <c r="H16">
        <f>IF(OR($E16="Raudt",$E16="Rødt",$E16="Raud",$E16="Rød"),3,IF($E16="Gult",2,IF(OR($E16="Grønt",$E16="Grøn",$E16="Grønn"),1,0)))</f>
        <v/>
      </c>
      <c r="I16">
        <f>IF(AND($C16&lt;&gt;"",$A16='Oversikt'!$C$4,$B16='Oversikt'!$C$5,$C16='Elevkort'!$C$4),MAX(I$1:I15)+1,"")</f>
        <v/>
      </c>
    </row>
    <row r="17" ht="20" customHeight="1">
      <c r="A17" s="18" t="inlineStr">
        <is>
          <t>1 · Haust</t>
        </is>
      </c>
      <c r="B17" s="18" t="inlineStr">
        <is>
          <t>1HO</t>
        </is>
      </c>
      <c r="C17" s="18" t="inlineStr">
        <is>
          <t>Julie Storli</t>
        </is>
      </c>
      <c r="D17" s="18" t="inlineStr">
        <is>
          <t>Fagleg utvikling</t>
        </is>
      </c>
      <c r="E17" s="18" t="inlineStr">
        <is>
          <t>Gult</t>
        </is>
      </c>
      <c r="F17" s="19" t="inlineStr">
        <is>
          <t>Fare for IV i naturfag om ho ikkje tek opp att prøva.</t>
        </is>
      </c>
      <c r="G17" s="18" t="inlineStr">
        <is>
          <t>R. Hoel</t>
        </is>
      </c>
      <c r="H17">
        <f>IF(OR($E17="Raudt",$E17="Rødt",$E17="Raud",$E17="Rød"),3,IF($E17="Gult",2,IF(OR($E17="Grønt",$E17="Grøn",$E17="Grønn"),1,0)))</f>
        <v/>
      </c>
      <c r="I17">
        <f>IF(AND($C17&lt;&gt;"",$A17='Oversikt'!$C$4,$B17='Oversikt'!$C$5,$C17='Elevkort'!$C$4),MAX(I$1:I16)+1,"")</f>
        <v/>
      </c>
    </row>
    <row r="18" ht="20" customHeight="1">
      <c r="A18" s="18" t="inlineStr">
        <is>
          <t>1 · Haust</t>
        </is>
      </c>
      <c r="B18" s="18" t="inlineStr">
        <is>
          <t>1HO</t>
        </is>
      </c>
      <c r="C18" s="18" t="inlineStr">
        <is>
          <t>Marius Hjelset</t>
        </is>
      </c>
      <c r="D18" s="18" t="inlineStr">
        <is>
          <t>Klassemiljø</t>
        </is>
      </c>
      <c r="E18" s="18" t="inlineStr">
        <is>
          <t>Gult</t>
        </is>
      </c>
      <c r="F18" s="19" t="inlineStr">
        <is>
          <t>Høg tone mot dei andre gutane. Har snakka med han ein gong.</t>
        </is>
      </c>
      <c r="G18" s="18" t="inlineStr">
        <is>
          <t>S. Bakken</t>
        </is>
      </c>
      <c r="H18">
        <f>IF(OR($E18="Raudt",$E18="Rødt",$E18="Raud",$E18="Rød"),3,IF($E18="Gult",2,IF(OR($E18="Grønt",$E18="Grøn",$E18="Grønn"),1,0)))</f>
        <v/>
      </c>
      <c r="I18">
        <f>IF(AND($C18&lt;&gt;"",$A18='Oversikt'!$C$4,$B18='Oversikt'!$C$5,$C18='Elevkort'!$C$4),MAX(I$1:I17)+1,"")</f>
        <v/>
      </c>
    </row>
    <row r="19" ht="20" customHeight="1">
      <c r="A19" s="18" t="inlineStr">
        <is>
          <t>1 · Haust</t>
        </is>
      </c>
      <c r="B19" s="18" t="inlineStr">
        <is>
          <t>1HO</t>
        </is>
      </c>
      <c r="C19" s="18" t="inlineStr">
        <is>
          <t>Selma Otterlei</t>
        </is>
      </c>
      <c r="D19" s="18" t="inlineStr">
        <is>
          <t>Praktiske forhold</t>
        </is>
      </c>
      <c r="E19" s="18" t="inlineStr">
        <is>
          <t>Gult</t>
        </is>
      </c>
      <c r="F19" s="19" t="inlineStr">
        <is>
          <t>Manglar arbeidstøy til praksis. Kostnaden er eit tema heime.</t>
        </is>
      </c>
      <c r="G19" s="18" t="inlineStr">
        <is>
          <t>S. Bakken</t>
        </is>
      </c>
      <c r="H19">
        <f>IF(OR($E19="Raudt",$E19="Rødt",$E19="Raud",$E19="Rød"),3,IF($E19="Gult",2,IF(OR($E19="Grønt",$E19="Grøn",$E19="Grønn"),1,0)))</f>
        <v/>
      </c>
      <c r="I19">
        <f>IF(AND($C19&lt;&gt;"",$A19='Oversikt'!$C$4,$B19='Oversikt'!$C$5,$C19='Elevkort'!$C$4),MAX(I$1:I18)+1,"")</f>
        <v/>
      </c>
    </row>
    <row r="20" ht="20" customHeight="1">
      <c r="A20" s="18" t="inlineStr">
        <is>
          <t>1 · Haust</t>
        </is>
      </c>
      <c r="B20" s="18" t="inlineStr">
        <is>
          <t>2AKV/FF</t>
        </is>
      </c>
      <c r="C20" s="18" t="inlineStr">
        <is>
          <t>Casper Rødset</t>
        </is>
      </c>
      <c r="D20" s="18" t="inlineStr">
        <is>
          <t>Frammøte</t>
        </is>
      </c>
      <c r="E20" s="18" t="inlineStr">
        <is>
          <t>Gult</t>
        </is>
      </c>
      <c r="F20" s="19" t="inlineStr">
        <is>
          <t>Kjem for seint til første økt to–tre dagar i veka.</t>
        </is>
      </c>
      <c r="G20" s="18" t="inlineStr">
        <is>
          <t>J. Vollan</t>
        </is>
      </c>
      <c r="H20">
        <f>IF(OR($E20="Raudt",$E20="Rødt",$E20="Raud",$E20="Rød"),3,IF($E20="Gult",2,IF(OR($E20="Grønt",$E20="Grøn",$E20="Grønn"),1,0)))</f>
        <v/>
      </c>
      <c r="I20">
        <f>IF(AND($C20&lt;&gt;"",$A20='Oversikt'!$C$4,$B20='Oversikt'!$C$5,$C20='Elevkort'!$C$4),MAX(I$1:I19)+1,"")</f>
        <v/>
      </c>
    </row>
    <row r="21" ht="20" customHeight="1">
      <c r="A21" s="18" t="inlineStr">
        <is>
          <t>1 · Haust</t>
        </is>
      </c>
      <c r="B21" s="18" t="inlineStr">
        <is>
          <t>2AKV/FF</t>
        </is>
      </c>
      <c r="C21" s="18" t="inlineStr">
        <is>
          <t>Dina Fladset</t>
        </is>
      </c>
      <c r="D21" s="18" t="inlineStr">
        <is>
          <t>Trivsel</t>
        </is>
      </c>
      <c r="E21" s="18" t="inlineStr">
        <is>
          <t>Gult</t>
        </is>
      </c>
      <c r="F21" s="19" t="inlineStr">
        <is>
          <t>Verkar sliten. Har nemnt at ho jobbar mykje ved sida av.</t>
        </is>
      </c>
      <c r="G21" s="18" t="inlineStr">
        <is>
          <t>J. Vollan</t>
        </is>
      </c>
      <c r="H21">
        <f>IF(OR($E21="Raudt",$E21="Rødt",$E21="Raud",$E21="Rød"),3,IF($E21="Gult",2,IF(OR($E21="Grønt",$E21="Grøn",$E21="Grønn"),1,0)))</f>
        <v/>
      </c>
      <c r="I21">
        <f>IF(AND($C21&lt;&gt;"",$A21='Oversikt'!$C$4,$B21='Oversikt'!$C$5,$C21='Elevkort'!$C$4),MAX(I$1:I20)+1,"")</f>
        <v/>
      </c>
    </row>
    <row r="22" ht="20" customHeight="1">
      <c r="A22" s="18" t="inlineStr">
        <is>
          <t>1 · Haust</t>
        </is>
      </c>
      <c r="B22" s="18" t="inlineStr">
        <is>
          <t>2AKV/FF</t>
        </is>
      </c>
      <c r="C22" s="18" t="inlineStr">
        <is>
          <t>Magnus Hasselø</t>
        </is>
      </c>
      <c r="D22" s="18" t="inlineStr">
        <is>
          <t>Fagleg utvikling</t>
        </is>
      </c>
      <c r="E22" s="18" t="inlineStr">
        <is>
          <t>Raudt</t>
        </is>
      </c>
      <c r="F22" s="19" t="inlineStr">
        <is>
          <t>Manglar vurderingsgrunnlag i to programfag.</t>
        </is>
      </c>
      <c r="G22" s="18" t="inlineStr">
        <is>
          <t>P. Krogsæter</t>
        </is>
      </c>
      <c r="H22">
        <f>IF(OR($E22="Raudt",$E22="Rødt",$E22="Raud",$E22="Rød"),3,IF($E22="Gult",2,IF(OR($E22="Grønt",$E22="Grøn",$E22="Grønn"),1,0)))</f>
        <v/>
      </c>
      <c r="I22">
        <f>IF(AND($C22&lt;&gt;"",$A22='Oversikt'!$C$4,$B22='Oversikt'!$C$5,$C22='Elevkort'!$C$4),MAX(I$1:I21)+1,"")</f>
        <v/>
      </c>
    </row>
    <row r="23" ht="20" customHeight="1">
      <c r="A23" s="18" t="inlineStr">
        <is>
          <t>1 · Haust</t>
        </is>
      </c>
      <c r="B23" s="18" t="inlineStr">
        <is>
          <t>2AKV/FF</t>
        </is>
      </c>
      <c r="C23" s="18" t="inlineStr">
        <is>
          <t>Ronja Bugge</t>
        </is>
      </c>
      <c r="D23" s="18" t="inlineStr">
        <is>
          <t>Motivasjon</t>
        </is>
      </c>
      <c r="E23" s="18" t="inlineStr">
        <is>
          <t>Gult</t>
        </is>
      </c>
      <c r="F23" s="19" t="inlineStr">
        <is>
          <t>Snakkar om å slutte etter jul. Vil helst ut i lære med ein gong.</t>
        </is>
      </c>
      <c r="G23" s="18" t="inlineStr">
        <is>
          <t>J. Vollan</t>
        </is>
      </c>
      <c r="H23">
        <f>IF(OR($E23="Raudt",$E23="Rødt",$E23="Raud",$E23="Rød"),3,IF($E23="Gult",2,IF(OR($E23="Grønt",$E23="Grøn",$E23="Grønn"),1,0)))</f>
        <v/>
      </c>
      <c r="I23">
        <f>IF(AND($C23&lt;&gt;"",$A23='Oversikt'!$C$4,$B23='Oversikt'!$C$5,$C23='Elevkort'!$C$4),MAX(I$1:I22)+1,"")</f>
        <v/>
      </c>
    </row>
    <row r="24" ht="20" customHeight="1">
      <c r="A24" s="18" t="inlineStr">
        <is>
          <t>2 · Før jul</t>
        </is>
      </c>
      <c r="B24" s="18" t="inlineStr">
        <is>
          <t>1ID</t>
        </is>
      </c>
      <c r="C24" s="18" t="inlineStr">
        <is>
          <t>Brage Settem</t>
        </is>
      </c>
      <c r="D24" s="18" t="inlineStr">
        <is>
          <t>Frammøte</t>
        </is>
      </c>
      <c r="E24" s="18" t="inlineStr">
        <is>
          <t>Gult</t>
        </is>
      </c>
      <c r="F24" s="19" t="inlineStr">
        <is>
          <t>Fråværet har flata ut etter avtala om måndagsoppmøte. Fem timar sidan sist.</t>
        </is>
      </c>
      <c r="G24" s="18" t="inlineStr">
        <is>
          <t>K. Meringdal</t>
        </is>
      </c>
      <c r="H24">
        <f>IF(OR($E24="Raudt",$E24="Rødt",$E24="Raud",$E24="Rød"),3,IF($E24="Gult",2,IF(OR($E24="Grønt",$E24="Grøn",$E24="Grønn"),1,0)))</f>
        <v/>
      </c>
      <c r="I24">
        <f>IF(AND($C24&lt;&gt;"",$A24='Oversikt'!$C$4,$B24='Oversikt'!$C$5,$C24='Elevkort'!$C$4),MAX(I$1:I23)+1,"")</f>
        <v/>
      </c>
    </row>
    <row r="25" ht="20" customHeight="1">
      <c r="A25" s="18" t="inlineStr">
        <is>
          <t>2 · Før jul</t>
        </is>
      </c>
      <c r="B25" s="18" t="inlineStr">
        <is>
          <t>1ID</t>
        </is>
      </c>
      <c r="C25" s="18" t="inlineStr">
        <is>
          <t>Brage Settem</t>
        </is>
      </c>
      <c r="D25" s="18" t="inlineStr">
        <is>
          <t>Motivasjon</t>
        </is>
      </c>
      <c r="E25" s="18" t="inlineStr">
        <is>
          <t>Grønt</t>
        </is>
      </c>
      <c r="F25" s="19" t="inlineStr">
        <is>
          <t>Har bestemt seg for å halde fram. Snakkar om læreplass.</t>
        </is>
      </c>
      <c r="G25" s="18" t="inlineStr">
        <is>
          <t>K. Meringdal</t>
        </is>
      </c>
      <c r="H25">
        <f>IF(OR($E25="Raudt",$E25="Rødt",$E25="Raud",$E25="Rød"),3,IF($E25="Gult",2,IF(OR($E25="Grønt",$E25="Grøn",$E25="Grønn"),1,0)))</f>
        <v/>
      </c>
      <c r="I25">
        <f>IF(AND($C25&lt;&gt;"",$A25='Oversikt'!$C$4,$B25='Oversikt'!$C$5,$C25='Elevkort'!$C$4),MAX(I$1:I24)+1,"")</f>
        <v/>
      </c>
    </row>
    <row r="26" ht="20" customHeight="1">
      <c r="A26" s="18" t="inlineStr">
        <is>
          <t>2 · Før jul</t>
        </is>
      </c>
      <c r="B26" s="18" t="inlineStr">
        <is>
          <t>1ID</t>
        </is>
      </c>
      <c r="C26" s="18" t="inlineStr">
        <is>
          <t>Brage Settem</t>
        </is>
      </c>
      <c r="D26" s="18" t="inlineStr">
        <is>
          <t>Arbeidsinnsats</t>
        </is>
      </c>
      <c r="E26" s="18" t="inlineStr">
        <is>
          <t>Gult</t>
        </is>
      </c>
      <c r="F26" s="19" t="inlineStr">
        <is>
          <t>Leverer no, men seint. Treng framleis påminning.</t>
        </is>
      </c>
      <c r="G26" s="18" t="inlineStr">
        <is>
          <t>M. Sæther</t>
        </is>
      </c>
      <c r="H26">
        <f>IF(OR($E26="Raudt",$E26="Rødt",$E26="Raud",$E26="Rød"),3,IF($E26="Gult",2,IF(OR($E26="Grønt",$E26="Grøn",$E26="Grønn"),1,0)))</f>
        <v/>
      </c>
      <c r="I26">
        <f>IF(AND($C26&lt;&gt;"",$A26='Oversikt'!$C$4,$B26='Oversikt'!$C$5,$C26='Elevkort'!$C$4),MAX(I$1:I25)+1,"")</f>
        <v/>
      </c>
    </row>
    <row r="27" ht="20" customHeight="1">
      <c r="A27" s="18" t="inlineStr">
        <is>
          <t>2 · Før jul</t>
        </is>
      </c>
      <c r="B27" s="18" t="inlineStr">
        <is>
          <t>1ID</t>
        </is>
      </c>
      <c r="C27" s="18" t="inlineStr">
        <is>
          <t>Eline Vevang</t>
        </is>
      </c>
      <c r="D27" s="18" t="inlineStr">
        <is>
          <t>Fagleg utvikling</t>
        </is>
      </c>
      <c r="E27" s="18" t="inlineStr">
        <is>
          <t>Gult</t>
        </is>
      </c>
      <c r="F27" s="19" t="inlineStr">
        <is>
          <t>Betre etter utvida tid på prøvene, men framleis låg måloppnåing.</t>
        </is>
      </c>
      <c r="G27" s="18" t="inlineStr">
        <is>
          <t>T. Rødal</t>
        </is>
      </c>
      <c r="H27">
        <f>IF(OR($E27="Raudt",$E27="Rødt",$E27="Raud",$E27="Rød"),3,IF($E27="Gult",2,IF(OR($E27="Grønt",$E27="Grøn",$E27="Grønn"),1,0)))</f>
        <v/>
      </c>
      <c r="I27">
        <f>IF(AND($C27&lt;&gt;"",$A27='Oversikt'!$C$4,$B27='Oversikt'!$C$5,$C27='Elevkort'!$C$4),MAX(I$1:I26)+1,"")</f>
        <v/>
      </c>
    </row>
    <row r="28" ht="20" customHeight="1">
      <c r="A28" s="18" t="inlineStr">
        <is>
          <t>2 · Før jul</t>
        </is>
      </c>
      <c r="B28" s="18" t="inlineStr">
        <is>
          <t>1ID</t>
        </is>
      </c>
      <c r="C28" s="18" t="inlineStr">
        <is>
          <t>Eline Vevang</t>
        </is>
      </c>
      <c r="D28" s="18" t="inlineStr">
        <is>
          <t>Praktiske forhold</t>
        </is>
      </c>
      <c r="E28" s="18" t="inlineStr">
        <is>
          <t>Grønt</t>
        </is>
      </c>
      <c r="F28" s="19" t="inlineStr">
        <is>
          <t>Ny bussavgang frå november. Kjem tidsnok no.</t>
        </is>
      </c>
      <c r="G28" s="18" t="inlineStr">
        <is>
          <t>K. Meringdal</t>
        </is>
      </c>
      <c r="H28">
        <f>IF(OR($E28="Raudt",$E28="Rødt",$E28="Raud",$E28="Rød"),3,IF($E28="Gult",2,IF(OR($E28="Grønt",$E28="Grøn",$E28="Grønn"),1,0)))</f>
        <v/>
      </c>
      <c r="I28">
        <f>IF(AND($C28&lt;&gt;"",$A28='Oversikt'!$C$4,$B28='Oversikt'!$C$5,$C28='Elevkort'!$C$4),MAX(I$1:I27)+1,"")</f>
        <v/>
      </c>
    </row>
    <row r="29" ht="20" customHeight="1">
      <c r="A29" s="18" t="inlineStr">
        <is>
          <t>2 · Før jul</t>
        </is>
      </c>
      <c r="B29" s="18" t="inlineStr">
        <is>
          <t>1ID</t>
        </is>
      </c>
      <c r="C29" s="18" t="inlineStr">
        <is>
          <t>Kaia Sylte</t>
        </is>
      </c>
      <c r="D29" s="18" t="inlineStr">
        <is>
          <t>Trivsel</t>
        </is>
      </c>
      <c r="E29" s="18" t="inlineStr">
        <is>
          <t>Gult</t>
        </is>
      </c>
      <c r="F29" s="19" t="inlineStr">
        <is>
          <t>Har fått ein å vere saman med i pausane. Går rette vegen.</t>
        </is>
      </c>
      <c r="G29" s="18" t="inlineStr">
        <is>
          <t>K. Meringdal</t>
        </is>
      </c>
      <c r="H29">
        <f>IF(OR($E29="Raudt",$E29="Rødt",$E29="Raud",$E29="Rød"),3,IF($E29="Gult",2,IF(OR($E29="Grønt",$E29="Grøn",$E29="Grønn"),1,0)))</f>
        <v/>
      </c>
      <c r="I29">
        <f>IF(AND($C29&lt;&gt;"",$A29='Oversikt'!$C$4,$B29='Oversikt'!$C$5,$C29='Elevkort'!$C$4),MAX(I$1:I28)+1,"")</f>
        <v/>
      </c>
    </row>
    <row r="30" ht="20" customHeight="1">
      <c r="A30" s="18" t="inlineStr">
        <is>
          <t>2 · Før jul</t>
        </is>
      </c>
      <c r="B30" s="18" t="inlineStr">
        <is>
          <t>1ID</t>
        </is>
      </c>
      <c r="C30" s="18" t="inlineStr">
        <is>
          <t>Kaia Sylte</t>
        </is>
      </c>
      <c r="D30" s="18" t="inlineStr">
        <is>
          <t>Klassemiljø</t>
        </is>
      </c>
      <c r="E30" s="18" t="inlineStr">
        <is>
          <t>Gult</t>
        </is>
      </c>
      <c r="F30" s="19" t="inlineStr">
        <is>
          <t>Fungerer betre i faste grupper enn når dei vel sjølve.</t>
        </is>
      </c>
      <c r="G30" s="18" t="inlineStr">
        <is>
          <t>A. Hovde</t>
        </is>
      </c>
      <c r="H30">
        <f>IF(OR($E30="Raudt",$E30="Rødt",$E30="Raud",$E30="Rød"),3,IF($E30="Gult",2,IF(OR($E30="Grønt",$E30="Grøn",$E30="Grønn"),1,0)))</f>
        <v/>
      </c>
      <c r="I30">
        <f>IF(AND($C30&lt;&gt;"",$A30='Oversikt'!$C$4,$B30='Oversikt'!$C$5,$C30='Elevkort'!$C$4),MAX(I$1:I29)+1,"")</f>
        <v/>
      </c>
    </row>
    <row r="31" ht="20" customHeight="1">
      <c r="A31" s="18" t="inlineStr">
        <is>
          <t>2 · Før jul</t>
        </is>
      </c>
      <c r="B31" s="18" t="inlineStr">
        <is>
          <t>1ID</t>
        </is>
      </c>
      <c r="C31" s="18" t="inlineStr">
        <is>
          <t>Mathea Gjendem</t>
        </is>
      </c>
      <c r="D31" s="18" t="inlineStr">
        <is>
          <t>Frammøte</t>
        </is>
      </c>
      <c r="E31" s="18" t="inlineStr">
        <is>
          <t>Raudt</t>
        </is>
      </c>
      <c r="F31" s="19" t="inlineStr">
        <is>
          <t>Ny sidan sist: ni timar borte i november, ingen forklaring.</t>
        </is>
      </c>
      <c r="G31" s="18" t="inlineStr">
        <is>
          <t>K. Meringdal</t>
        </is>
      </c>
      <c r="H31">
        <f>IF(OR($E31="Raudt",$E31="Rødt",$E31="Raud",$E31="Rød"),3,IF($E31="Gult",2,IF(OR($E31="Grønt",$E31="Grøn",$E31="Grønn"),1,0)))</f>
        <v/>
      </c>
      <c r="I31">
        <f>IF(AND($C31&lt;&gt;"",$A31='Oversikt'!$C$4,$B31='Oversikt'!$C$5,$C31='Elevkort'!$C$4),MAX(I$1:I30)+1,"")</f>
        <v/>
      </c>
    </row>
    <row r="32" ht="20" customHeight="1">
      <c r="A32" s="18" t="inlineStr">
        <is>
          <t>2 · Før jul</t>
        </is>
      </c>
      <c r="B32" s="18" t="inlineStr">
        <is>
          <t>1ID</t>
        </is>
      </c>
      <c r="C32" s="18" t="inlineStr">
        <is>
          <t>Mathea Gjendem</t>
        </is>
      </c>
      <c r="D32" s="18" t="inlineStr">
        <is>
          <t>Trivsel</t>
        </is>
      </c>
      <c r="E32" s="18" t="inlineStr">
        <is>
          <t>Gult</t>
        </is>
      </c>
      <c r="F32" s="19" t="inlineStr">
        <is>
          <t>Har trekt seg unna venninnegjengen sin.</t>
        </is>
      </c>
      <c r="G32" s="18" t="inlineStr">
        <is>
          <t>A. Hovde</t>
        </is>
      </c>
      <c r="H32">
        <f>IF(OR($E32="Raudt",$E32="Rødt",$E32="Raud",$E32="Rød"),3,IF($E32="Gult",2,IF(OR($E32="Grønt",$E32="Grøn",$E32="Grønn"),1,0)))</f>
        <v/>
      </c>
      <c r="I32">
        <f>IF(AND($C32&lt;&gt;"",$A32='Oversikt'!$C$4,$B32='Oversikt'!$C$5,$C32='Elevkort'!$C$4),MAX(I$1:I31)+1,"")</f>
        <v/>
      </c>
    </row>
    <row r="33" ht="20" customHeight="1">
      <c r="A33" s="18" t="inlineStr">
        <is>
          <t>2 · Før jul</t>
        </is>
      </c>
      <c r="B33" s="18" t="inlineStr">
        <is>
          <t>1ID</t>
        </is>
      </c>
      <c r="C33" s="18" t="inlineStr">
        <is>
          <t>Noah Silseth</t>
        </is>
      </c>
      <c r="D33" s="18" t="inlineStr">
        <is>
          <t>Fagleg utvikling</t>
        </is>
      </c>
      <c r="E33" s="18" t="inlineStr">
        <is>
          <t>Grønt</t>
        </is>
      </c>
      <c r="F33" s="19" t="inlineStr">
        <is>
          <t>Har fått lydbøker og utvida tid. Fungerer.</t>
        </is>
      </c>
      <c r="G33" s="18" t="inlineStr">
        <is>
          <t>M. Sæther</t>
        </is>
      </c>
      <c r="H33">
        <f>IF(OR($E33="Raudt",$E33="Rødt",$E33="Raud",$E33="Rød"),3,IF($E33="Gult",2,IF(OR($E33="Grønt",$E33="Grøn",$E33="Grønn"),1,0)))</f>
        <v/>
      </c>
      <c r="I33">
        <f>IF(AND($C33&lt;&gt;"",$A33='Oversikt'!$C$4,$B33='Oversikt'!$C$5,$C33='Elevkort'!$C$4),MAX(I$1:I32)+1,"")</f>
        <v/>
      </c>
    </row>
    <row r="34" ht="20" customHeight="1">
      <c r="A34" s="18" t="inlineStr">
        <is>
          <t>2 · Før jul</t>
        </is>
      </c>
      <c r="B34" s="18" t="inlineStr">
        <is>
          <t>1ID</t>
        </is>
      </c>
      <c r="C34" s="18" t="inlineStr">
        <is>
          <t>Sander Vikan</t>
        </is>
      </c>
      <c r="D34" s="18" t="inlineStr">
        <is>
          <t>Frammøte</t>
        </is>
      </c>
      <c r="E34" s="18" t="inlineStr">
        <is>
          <t>Grønt</t>
        </is>
      </c>
      <c r="F34" s="19" t="inlineStr">
        <is>
          <t>Ingen nye timar borte sidan møtet i september.</t>
        </is>
      </c>
      <c r="G34" s="18" t="inlineStr">
        <is>
          <t>K. Meringdal</t>
        </is>
      </c>
      <c r="H34">
        <f>IF(OR($E34="Raudt",$E34="Rødt",$E34="Raud",$E34="Rød"),3,IF($E34="Gult",2,IF(OR($E34="Grønt",$E34="Grøn",$E34="Grønn"),1,0)))</f>
        <v/>
      </c>
      <c r="I34">
        <f>IF(AND($C34&lt;&gt;"",$A34='Oversikt'!$C$4,$B34='Oversikt'!$C$5,$C34='Elevkort'!$C$4),MAX(I$1:I33)+1,"")</f>
        <v/>
      </c>
    </row>
    <row r="35" ht="20" customHeight="1">
      <c r="A35" s="18" t="inlineStr">
        <is>
          <t>2 · Før jul</t>
        </is>
      </c>
      <c r="B35" s="18" t="inlineStr">
        <is>
          <t>1HO</t>
        </is>
      </c>
      <c r="C35" s="18" t="inlineStr">
        <is>
          <t>Emil Solheim</t>
        </is>
      </c>
      <c r="D35" s="18" t="inlineStr">
        <is>
          <t>Frammøte</t>
        </is>
      </c>
      <c r="E35" s="18" t="inlineStr">
        <is>
          <t>Raudt</t>
        </is>
      </c>
      <c r="F35" s="19" t="inlineStr">
        <is>
          <t>Framleis høgt fråvær. 21 timar totalt.</t>
        </is>
      </c>
      <c r="G35" s="18" t="inlineStr">
        <is>
          <t>S. Bakken</t>
        </is>
      </c>
      <c r="H35">
        <f>IF(OR($E35="Raudt",$E35="Rødt",$E35="Raud",$E35="Rød"),3,IF($E35="Gult",2,IF(OR($E35="Grønt",$E35="Grøn",$E35="Grønn"),1,0)))</f>
        <v/>
      </c>
      <c r="I35">
        <f>IF(AND($C35&lt;&gt;"",$A35='Oversikt'!$C$4,$B35='Oversikt'!$C$5,$C35='Elevkort'!$C$4),MAX(I$1:I34)+1,"")</f>
        <v/>
      </c>
    </row>
    <row r="36" ht="20" customHeight="1">
      <c r="A36" s="18" t="inlineStr">
        <is>
          <t>2 · Før jul</t>
        </is>
      </c>
      <c r="B36" s="18" t="inlineStr">
        <is>
          <t>1HO</t>
        </is>
      </c>
      <c r="C36" s="18" t="inlineStr">
        <is>
          <t>Emil Solheim</t>
        </is>
      </c>
      <c r="D36" s="18" t="inlineStr">
        <is>
          <t>Heim og føresette</t>
        </is>
      </c>
      <c r="E36" s="18" t="inlineStr">
        <is>
          <t>Grønt</t>
        </is>
      </c>
      <c r="F36" s="19" t="inlineStr">
        <is>
          <t>Fekk kontakt i oktober. Møte med føresette gjennomført.</t>
        </is>
      </c>
      <c r="G36" s="18" t="inlineStr">
        <is>
          <t>S. Bakken</t>
        </is>
      </c>
      <c r="H36">
        <f>IF(OR($E36="Raudt",$E36="Rødt",$E36="Raud",$E36="Rød"),3,IF($E36="Gult",2,IF(OR($E36="Grønt",$E36="Grøn",$E36="Grønn"),1,0)))</f>
        <v/>
      </c>
      <c r="I36">
        <f>IF(AND($C36&lt;&gt;"",$A36='Oversikt'!$C$4,$B36='Oversikt'!$C$5,$C36='Elevkort'!$C$4),MAX(I$1:I35)+1,"")</f>
        <v/>
      </c>
    </row>
    <row r="37" ht="20" customHeight="1">
      <c r="A37" s="18" t="inlineStr">
        <is>
          <t>2 · Før jul</t>
        </is>
      </c>
      <c r="B37" s="18" t="inlineStr">
        <is>
          <t>1HO</t>
        </is>
      </c>
      <c r="C37" s="18" t="inlineStr">
        <is>
          <t>Isak Nerland</t>
        </is>
      </c>
      <c r="D37" s="18" t="inlineStr">
        <is>
          <t>Arbeidsinnsats</t>
        </is>
      </c>
      <c r="E37" s="18" t="inlineStr">
        <is>
          <t>Gult</t>
        </is>
      </c>
      <c r="F37" s="19" t="inlineStr">
        <is>
          <t>Leverer att etter avtala om telefonhotell. Tre av fem siste levert.</t>
        </is>
      </c>
      <c r="G37" s="18" t="inlineStr">
        <is>
          <t>R. Hoel</t>
        </is>
      </c>
      <c r="H37">
        <f>IF(OR($E37="Raudt",$E37="Rødt",$E37="Raud",$E37="Rød"),3,IF($E37="Gult",2,IF(OR($E37="Grønt",$E37="Grøn",$E37="Grønn"),1,0)))</f>
        <v/>
      </c>
      <c r="I37">
        <f>IF(AND($C37&lt;&gt;"",$A37='Oversikt'!$C$4,$B37='Oversikt'!$C$5,$C37='Elevkort'!$C$4),MAX(I$1:I36)+1,"")</f>
        <v/>
      </c>
    </row>
    <row r="38" ht="20" customHeight="1">
      <c r="A38" s="18" t="inlineStr">
        <is>
          <t>2 · Før jul</t>
        </is>
      </c>
      <c r="B38" s="18" t="inlineStr">
        <is>
          <t>1HO</t>
        </is>
      </c>
      <c r="C38" s="18" t="inlineStr">
        <is>
          <t>Julie Storli</t>
        </is>
      </c>
      <c r="D38" s="18" t="inlineStr">
        <is>
          <t>Fagleg utvikling</t>
        </is>
      </c>
      <c r="E38" s="18" t="inlineStr">
        <is>
          <t>Grønt</t>
        </is>
      </c>
      <c r="F38" s="19" t="inlineStr">
        <is>
          <t>Tok opp att prøva og står no i naturfag.</t>
        </is>
      </c>
      <c r="G38" s="18" t="inlineStr">
        <is>
          <t>R. Hoel</t>
        </is>
      </c>
      <c r="H38">
        <f>IF(OR($E38="Raudt",$E38="Rødt",$E38="Raud",$E38="Rød"),3,IF($E38="Gult",2,IF(OR($E38="Grønt",$E38="Grøn",$E38="Grønn"),1,0)))</f>
        <v/>
      </c>
      <c r="I38">
        <f>IF(AND($C38&lt;&gt;"",$A38='Oversikt'!$C$4,$B38='Oversikt'!$C$5,$C38='Elevkort'!$C$4),MAX(I$1:I37)+1,"")</f>
        <v/>
      </c>
    </row>
    <row r="39" ht="20" customHeight="1">
      <c r="A39" s="18" t="inlineStr">
        <is>
          <t>2 · Før jul</t>
        </is>
      </c>
      <c r="B39" s="18" t="inlineStr">
        <is>
          <t>1HO</t>
        </is>
      </c>
      <c r="C39" s="18" t="inlineStr">
        <is>
          <t>Marius Hjelset</t>
        </is>
      </c>
      <c r="D39" s="18" t="inlineStr">
        <is>
          <t>Klassemiljø</t>
        </is>
      </c>
      <c r="E39" s="18" t="inlineStr">
        <is>
          <t>Gult</t>
        </is>
      </c>
      <c r="F39" s="19" t="inlineStr">
        <is>
          <t>Betre, men tek framleis mykje plass i verkstaden.</t>
        </is>
      </c>
      <c r="G39" s="18" t="inlineStr">
        <is>
          <t>S. Bakken</t>
        </is>
      </c>
      <c r="H39">
        <f>IF(OR($E39="Raudt",$E39="Rødt",$E39="Raud",$E39="Rød"),3,IF($E39="Gult",2,IF(OR($E39="Grønt",$E39="Grøn",$E39="Grønn"),1,0)))</f>
        <v/>
      </c>
      <c r="I39">
        <f>IF(AND($C39&lt;&gt;"",$A39='Oversikt'!$C$4,$B39='Oversikt'!$C$5,$C39='Elevkort'!$C$4),MAX(I$1:I38)+1,"")</f>
        <v/>
      </c>
    </row>
    <row r="40" ht="20" customHeight="1">
      <c r="A40" s="18" t="inlineStr">
        <is>
          <t>2 · Før jul</t>
        </is>
      </c>
      <c r="B40" s="18" t="inlineStr">
        <is>
          <t>1HO</t>
        </is>
      </c>
      <c r="C40" s="18" t="inlineStr">
        <is>
          <t>Nora Elvebakk</t>
        </is>
      </c>
      <c r="D40" s="18" t="inlineStr">
        <is>
          <t>Motivasjon</t>
        </is>
      </c>
      <c r="E40" s="18" t="inlineStr">
        <is>
          <t>Gult</t>
        </is>
      </c>
      <c r="F40" s="19" t="inlineStr">
        <is>
          <t>Ny sidan sist: seier ho ikkje ser vitsen med fellesfaga.</t>
        </is>
      </c>
      <c r="G40" s="18" t="inlineStr">
        <is>
          <t>S. Bakken</t>
        </is>
      </c>
      <c r="H40">
        <f>IF(OR($E40="Raudt",$E40="Rødt",$E40="Raud",$E40="Rød"),3,IF($E40="Gult",2,IF(OR($E40="Grønt",$E40="Grøn",$E40="Grønn"),1,0)))</f>
        <v/>
      </c>
      <c r="I40">
        <f>IF(AND($C40&lt;&gt;"",$A40='Oversikt'!$C$4,$B40='Oversikt'!$C$5,$C40='Elevkort'!$C$4),MAX(I$1:I39)+1,"")</f>
        <v/>
      </c>
    </row>
    <row r="41" ht="20" customHeight="1">
      <c r="A41" s="18" t="inlineStr">
        <is>
          <t>2 · Før jul</t>
        </is>
      </c>
      <c r="B41" s="18" t="inlineStr">
        <is>
          <t>1HO</t>
        </is>
      </c>
      <c r="C41" s="18" t="inlineStr">
        <is>
          <t>Selma Otterlei</t>
        </is>
      </c>
      <c r="D41" s="18" t="inlineStr">
        <is>
          <t>Praktiske forhold</t>
        </is>
      </c>
      <c r="E41" s="18" t="inlineStr">
        <is>
          <t>Grønt</t>
        </is>
      </c>
      <c r="F41" s="19" t="inlineStr">
        <is>
          <t>Arbeidstøy dekt av skulen sitt utstyrsfond.</t>
        </is>
      </c>
      <c r="G41" s="18" t="inlineStr">
        <is>
          <t>S. Bakken</t>
        </is>
      </c>
      <c r="H41">
        <f>IF(OR($E41="Raudt",$E41="Rødt",$E41="Raud",$E41="Rød"),3,IF($E41="Gult",2,IF(OR($E41="Grønt",$E41="Grøn",$E41="Grønn"),1,0)))</f>
        <v/>
      </c>
      <c r="I41">
        <f>IF(AND($C41&lt;&gt;"",$A41='Oversikt'!$C$4,$B41='Oversikt'!$C$5,$C41='Elevkort'!$C$4),MAX(I$1:I40)+1,"")</f>
        <v/>
      </c>
    </row>
    <row r="42" ht="20" customHeight="1">
      <c r="A42" s="18" t="inlineStr">
        <is>
          <t>2 · Før jul</t>
        </is>
      </c>
      <c r="B42" s="18" t="inlineStr">
        <is>
          <t>2AKV/FF</t>
        </is>
      </c>
      <c r="C42" s="18" t="inlineStr">
        <is>
          <t>Casper Rødset</t>
        </is>
      </c>
      <c r="D42" s="18" t="inlineStr">
        <is>
          <t>Frammøte</t>
        </is>
      </c>
      <c r="E42" s="18" t="inlineStr">
        <is>
          <t>Grønt</t>
        </is>
      </c>
      <c r="F42" s="19" t="inlineStr">
        <is>
          <t>Kjem tidsnok etter samtala i oktober.</t>
        </is>
      </c>
      <c r="G42" s="18" t="inlineStr">
        <is>
          <t>J. Vollan</t>
        </is>
      </c>
      <c r="H42">
        <f>IF(OR($E42="Raudt",$E42="Rødt",$E42="Raud",$E42="Rød"),3,IF($E42="Gult",2,IF(OR($E42="Grønt",$E42="Grøn",$E42="Grønn"),1,0)))</f>
        <v/>
      </c>
      <c r="I42">
        <f>IF(AND($C42&lt;&gt;"",$A42='Oversikt'!$C$4,$B42='Oversikt'!$C$5,$C42='Elevkort'!$C$4),MAX(I$1:I41)+1,"")</f>
        <v/>
      </c>
    </row>
    <row r="43" ht="20" customHeight="1">
      <c r="A43" s="18" t="inlineStr">
        <is>
          <t>2 · Før jul</t>
        </is>
      </c>
      <c r="B43" s="18" t="inlineStr">
        <is>
          <t>2AKV/FF</t>
        </is>
      </c>
      <c r="C43" s="18" t="inlineStr">
        <is>
          <t>Dina Fladset</t>
        </is>
      </c>
      <c r="D43" s="18" t="inlineStr">
        <is>
          <t>Trivsel</t>
        </is>
      </c>
      <c r="E43" s="18" t="inlineStr">
        <is>
          <t>Raudt</t>
        </is>
      </c>
      <c r="F43" s="19" t="inlineStr">
        <is>
          <t>Har blitt verre. Sov i timen tre gonger denne månaden.</t>
        </is>
      </c>
      <c r="G43" s="18" t="inlineStr">
        <is>
          <t>J. Vollan</t>
        </is>
      </c>
      <c r="H43">
        <f>IF(OR($E43="Raudt",$E43="Rødt",$E43="Raud",$E43="Rød"),3,IF($E43="Gult",2,IF(OR($E43="Grønt",$E43="Grøn",$E43="Grønn"),1,0)))</f>
        <v/>
      </c>
      <c r="I43">
        <f>IF(AND($C43&lt;&gt;"",$A43='Oversikt'!$C$4,$B43='Oversikt'!$C$5,$C43='Elevkort'!$C$4),MAX(I$1:I42)+1,"")</f>
        <v/>
      </c>
    </row>
    <row r="44" ht="20" customHeight="1">
      <c r="A44" s="18" t="inlineStr">
        <is>
          <t>2 · Før jul</t>
        </is>
      </c>
      <c r="B44" s="18" t="inlineStr">
        <is>
          <t>2AKV/FF</t>
        </is>
      </c>
      <c r="C44" s="18" t="inlineStr">
        <is>
          <t>Magnus Hasselø</t>
        </is>
      </c>
      <c r="D44" s="18" t="inlineStr">
        <is>
          <t>Fagleg utvikling</t>
        </is>
      </c>
      <c r="E44" s="18" t="inlineStr">
        <is>
          <t>Gult</t>
        </is>
      </c>
      <c r="F44" s="19" t="inlineStr">
        <is>
          <t>Har levert det som mangla i eitt av dei to faga.</t>
        </is>
      </c>
      <c r="G44" s="18" t="inlineStr">
        <is>
          <t>P. Krogsæter</t>
        </is>
      </c>
      <c r="H44">
        <f>IF(OR($E44="Raudt",$E44="Rødt",$E44="Raud",$E44="Rød"),3,IF($E44="Gult",2,IF(OR($E44="Grønt",$E44="Grøn",$E44="Grønn"),1,0)))</f>
        <v/>
      </c>
      <c r="I44">
        <f>IF(AND($C44&lt;&gt;"",$A44='Oversikt'!$C$4,$B44='Oversikt'!$C$5,$C44='Elevkort'!$C$4),MAX(I$1:I43)+1,"")</f>
        <v/>
      </c>
    </row>
    <row r="45" ht="20" customHeight="1">
      <c r="A45" s="18" t="inlineStr">
        <is>
          <t>2 · Før jul</t>
        </is>
      </c>
      <c r="B45" s="18" t="inlineStr">
        <is>
          <t>2AKV/FF</t>
        </is>
      </c>
      <c r="C45" s="18" t="inlineStr">
        <is>
          <t>Ronja Bugge</t>
        </is>
      </c>
      <c r="D45" s="18" t="inlineStr">
        <is>
          <t>Motivasjon</t>
        </is>
      </c>
      <c r="E45" s="18" t="inlineStr">
        <is>
          <t>Grønt</t>
        </is>
      </c>
      <c r="F45" s="19" t="inlineStr">
        <is>
          <t>Har fått utplassering hos ein bedrift. Blir ut skuleåret.</t>
        </is>
      </c>
      <c r="G45" s="18" t="inlineStr">
        <is>
          <t>J. Vollan</t>
        </is>
      </c>
      <c r="H45">
        <f>IF(OR($E45="Raudt",$E45="Rødt",$E45="Raud",$E45="Rød"),3,IF($E45="Gult",2,IF(OR($E45="Grønt",$E45="Grøn",$E45="Grønn"),1,0)))</f>
        <v/>
      </c>
      <c r="I45">
        <f>IF(AND($C45&lt;&gt;"",$A45='Oversikt'!$C$4,$B45='Oversikt'!$C$5,$C45='Elevkort'!$C$4),MAX(I$1:I44)+1,"")</f>
        <v/>
      </c>
    </row>
    <row r="46" ht="20" customHeight="1">
      <c r="A46" s="18" t="n"/>
      <c r="B46" s="18" t="n"/>
      <c r="C46" s="18" t="n"/>
      <c r="D46" s="18" t="n"/>
      <c r="E46" s="18" t="n"/>
      <c r="F46" s="19" t="n"/>
      <c r="G46" s="18" t="n"/>
      <c r="H46">
        <f>IF(OR($E46="Raudt",$E46="Rødt",$E46="Raud",$E46="Rød"),3,IF($E46="Gult",2,IF(OR($E46="Grønt",$E46="Grøn",$E46="Grønn"),1,0)))</f>
        <v/>
      </c>
      <c r="I46">
        <f>IF(AND($C46&lt;&gt;"",$A46='Oversikt'!$C$4,$B46='Oversikt'!$C$5,$C46='Elevkort'!$C$4),MAX(I$1:I45)+1,"")</f>
        <v/>
      </c>
    </row>
    <row r="47" ht="20" customHeight="1">
      <c r="A47" s="18" t="n"/>
      <c r="B47" s="18" t="n"/>
      <c r="C47" s="18" t="n"/>
      <c r="D47" s="18" t="n"/>
      <c r="E47" s="18" t="n"/>
      <c r="F47" s="19" t="n"/>
      <c r="G47" s="18" t="n"/>
      <c r="H47">
        <f>IF(OR($E47="Raudt",$E47="Rødt",$E47="Raud",$E47="Rød"),3,IF($E47="Gult",2,IF(OR($E47="Grønt",$E47="Grøn",$E47="Grønn"),1,0)))</f>
        <v/>
      </c>
      <c r="I47">
        <f>IF(AND($C47&lt;&gt;"",$A47='Oversikt'!$C$4,$B47='Oversikt'!$C$5,$C47='Elevkort'!$C$4),MAX(I$1:I46)+1,"")</f>
        <v/>
      </c>
    </row>
    <row r="48" ht="20" customHeight="1">
      <c r="A48" s="18" t="n"/>
      <c r="B48" s="18" t="n"/>
      <c r="C48" s="18" t="n"/>
      <c r="D48" s="18" t="n"/>
      <c r="E48" s="18" t="n"/>
      <c r="F48" s="19" t="n"/>
      <c r="G48" s="18" t="n"/>
      <c r="H48">
        <f>IF(OR($E48="Raudt",$E48="Rødt",$E48="Raud",$E48="Rød"),3,IF($E48="Gult",2,IF(OR($E48="Grønt",$E48="Grøn",$E48="Grønn"),1,0)))</f>
        <v/>
      </c>
      <c r="I48">
        <f>IF(AND($C48&lt;&gt;"",$A48='Oversikt'!$C$4,$B48='Oversikt'!$C$5,$C48='Elevkort'!$C$4),MAX(I$1:I47)+1,"")</f>
        <v/>
      </c>
    </row>
    <row r="49" ht="20" customHeight="1">
      <c r="A49" s="18" t="n"/>
      <c r="B49" s="18" t="n"/>
      <c r="C49" s="18" t="n"/>
      <c r="D49" s="18" t="n"/>
      <c r="E49" s="18" t="n"/>
      <c r="F49" s="19" t="n"/>
      <c r="G49" s="18" t="n"/>
      <c r="H49">
        <f>IF(OR($E49="Raudt",$E49="Rødt",$E49="Raud",$E49="Rød"),3,IF($E49="Gult",2,IF(OR($E49="Grønt",$E49="Grøn",$E49="Grønn"),1,0)))</f>
        <v/>
      </c>
      <c r="I49">
        <f>IF(AND($C49&lt;&gt;"",$A49='Oversikt'!$C$4,$B49='Oversikt'!$C$5,$C49='Elevkort'!$C$4),MAX(I$1:I48)+1,"")</f>
        <v/>
      </c>
    </row>
    <row r="50" ht="20" customHeight="1">
      <c r="A50" s="18" t="n"/>
      <c r="B50" s="18" t="n"/>
      <c r="C50" s="18" t="n"/>
      <c r="D50" s="18" t="n"/>
      <c r="E50" s="18" t="n"/>
      <c r="F50" s="19" t="n"/>
      <c r="G50" s="18" t="n"/>
      <c r="H50">
        <f>IF(OR($E50="Raudt",$E50="Rødt",$E50="Raud",$E50="Rød"),3,IF($E50="Gult",2,IF(OR($E50="Grønt",$E50="Grøn",$E50="Grønn"),1,0)))</f>
        <v/>
      </c>
      <c r="I50">
        <f>IF(AND($C50&lt;&gt;"",$A50='Oversikt'!$C$4,$B50='Oversikt'!$C$5,$C50='Elevkort'!$C$4),MAX(I$1:I49)+1,"")</f>
        <v/>
      </c>
    </row>
    <row r="51" ht="20" customHeight="1">
      <c r="A51" s="18" t="n"/>
      <c r="B51" s="18" t="n"/>
      <c r="C51" s="18" t="n"/>
      <c r="D51" s="18" t="n"/>
      <c r="E51" s="18" t="n"/>
      <c r="F51" s="19" t="n"/>
      <c r="G51" s="18" t="n"/>
      <c r="H51">
        <f>IF(OR($E51="Raudt",$E51="Rødt",$E51="Raud",$E51="Rød"),3,IF($E51="Gult",2,IF(OR($E51="Grønt",$E51="Grøn",$E51="Grønn"),1,0)))</f>
        <v/>
      </c>
      <c r="I51">
        <f>IF(AND($C51&lt;&gt;"",$A51='Oversikt'!$C$4,$B51='Oversikt'!$C$5,$C51='Elevkort'!$C$4),MAX(I$1:I50)+1,"")</f>
        <v/>
      </c>
    </row>
    <row r="52" ht="20" customHeight="1">
      <c r="A52" s="18" t="n"/>
      <c r="B52" s="18" t="n"/>
      <c r="C52" s="18" t="n"/>
      <c r="D52" s="18" t="n"/>
      <c r="E52" s="18" t="n"/>
      <c r="F52" s="19" t="n"/>
      <c r="G52" s="18" t="n"/>
      <c r="H52">
        <f>IF(OR($E52="Raudt",$E52="Rødt",$E52="Raud",$E52="Rød"),3,IF($E52="Gult",2,IF(OR($E52="Grønt",$E52="Grøn",$E52="Grønn"),1,0)))</f>
        <v/>
      </c>
      <c r="I52">
        <f>IF(AND($C52&lt;&gt;"",$A52='Oversikt'!$C$4,$B52='Oversikt'!$C$5,$C52='Elevkort'!$C$4),MAX(I$1:I51)+1,"")</f>
        <v/>
      </c>
    </row>
    <row r="53" ht="20" customHeight="1">
      <c r="A53" s="18" t="n"/>
      <c r="B53" s="18" t="n"/>
      <c r="C53" s="18" t="n"/>
      <c r="D53" s="18" t="n"/>
      <c r="E53" s="18" t="n"/>
      <c r="F53" s="19" t="n"/>
      <c r="G53" s="18" t="n"/>
      <c r="H53">
        <f>IF(OR($E53="Raudt",$E53="Rødt",$E53="Raud",$E53="Rød"),3,IF($E53="Gult",2,IF(OR($E53="Grønt",$E53="Grøn",$E53="Grønn"),1,0)))</f>
        <v/>
      </c>
      <c r="I53">
        <f>IF(AND($C53&lt;&gt;"",$A53='Oversikt'!$C$4,$B53='Oversikt'!$C$5,$C53='Elevkort'!$C$4),MAX(I$1:I52)+1,"")</f>
        <v/>
      </c>
    </row>
    <row r="54" ht="20" customHeight="1">
      <c r="A54" s="18" t="n"/>
      <c r="B54" s="18" t="n"/>
      <c r="C54" s="18" t="n"/>
      <c r="D54" s="18" t="n"/>
      <c r="E54" s="18" t="n"/>
      <c r="F54" s="19" t="n"/>
      <c r="G54" s="18" t="n"/>
      <c r="H54">
        <f>IF(OR($E54="Raudt",$E54="Rødt",$E54="Raud",$E54="Rød"),3,IF($E54="Gult",2,IF(OR($E54="Grønt",$E54="Grøn",$E54="Grønn"),1,0)))</f>
        <v/>
      </c>
      <c r="I54">
        <f>IF(AND($C54&lt;&gt;"",$A54='Oversikt'!$C$4,$B54='Oversikt'!$C$5,$C54='Elevkort'!$C$4),MAX(I$1:I53)+1,"")</f>
        <v/>
      </c>
    </row>
    <row r="55" ht="20" customHeight="1">
      <c r="A55" s="18" t="n"/>
      <c r="B55" s="18" t="n"/>
      <c r="C55" s="18" t="n"/>
      <c r="D55" s="18" t="n"/>
      <c r="E55" s="18" t="n"/>
      <c r="F55" s="19" t="n"/>
      <c r="G55" s="18" t="n"/>
      <c r="H55">
        <f>IF(OR($E55="Raudt",$E55="Rødt",$E55="Raud",$E55="Rød"),3,IF($E55="Gult",2,IF(OR($E55="Grønt",$E55="Grøn",$E55="Grønn"),1,0)))</f>
        <v/>
      </c>
      <c r="I55">
        <f>IF(AND($C55&lt;&gt;"",$A55='Oversikt'!$C$4,$B55='Oversikt'!$C$5,$C55='Elevkort'!$C$4),MAX(I$1:I54)+1,"")</f>
        <v/>
      </c>
    </row>
    <row r="56" ht="20" customHeight="1">
      <c r="A56" s="18" t="n"/>
      <c r="B56" s="18" t="n"/>
      <c r="C56" s="18" t="n"/>
      <c r="D56" s="18" t="n"/>
      <c r="E56" s="18" t="n"/>
      <c r="F56" s="19" t="n"/>
      <c r="G56" s="18" t="n"/>
      <c r="H56">
        <f>IF(OR($E56="Raudt",$E56="Rødt",$E56="Raud",$E56="Rød"),3,IF($E56="Gult",2,IF(OR($E56="Grønt",$E56="Grøn",$E56="Grønn"),1,0)))</f>
        <v/>
      </c>
      <c r="I56">
        <f>IF(AND($C56&lt;&gt;"",$A56='Oversikt'!$C$4,$B56='Oversikt'!$C$5,$C56='Elevkort'!$C$4),MAX(I$1:I55)+1,"")</f>
        <v/>
      </c>
    </row>
    <row r="57" ht="20" customHeight="1">
      <c r="A57" s="18" t="n"/>
      <c r="B57" s="18" t="n"/>
      <c r="C57" s="18" t="n"/>
      <c r="D57" s="18" t="n"/>
      <c r="E57" s="18" t="n"/>
      <c r="F57" s="19" t="n"/>
      <c r="G57" s="18" t="n"/>
      <c r="H57">
        <f>IF(OR($E57="Raudt",$E57="Rødt",$E57="Raud",$E57="Rød"),3,IF($E57="Gult",2,IF(OR($E57="Grønt",$E57="Grøn",$E57="Grønn"),1,0)))</f>
        <v/>
      </c>
      <c r="I57">
        <f>IF(AND($C57&lt;&gt;"",$A57='Oversikt'!$C$4,$B57='Oversikt'!$C$5,$C57='Elevkort'!$C$4),MAX(I$1:I56)+1,"")</f>
        <v/>
      </c>
    </row>
    <row r="58" ht="20" customHeight="1">
      <c r="A58" s="18" t="n"/>
      <c r="B58" s="18" t="n"/>
      <c r="C58" s="18" t="n"/>
      <c r="D58" s="18" t="n"/>
      <c r="E58" s="18" t="n"/>
      <c r="F58" s="19" t="n"/>
      <c r="G58" s="18" t="n"/>
      <c r="H58">
        <f>IF(OR($E58="Raudt",$E58="Rødt",$E58="Raud",$E58="Rød"),3,IF($E58="Gult",2,IF(OR($E58="Grønt",$E58="Grøn",$E58="Grønn"),1,0)))</f>
        <v/>
      </c>
      <c r="I58">
        <f>IF(AND($C58&lt;&gt;"",$A58='Oversikt'!$C$4,$B58='Oversikt'!$C$5,$C58='Elevkort'!$C$4),MAX(I$1:I57)+1,"")</f>
        <v/>
      </c>
    </row>
    <row r="59" ht="20" customHeight="1">
      <c r="A59" s="18" t="n"/>
      <c r="B59" s="18" t="n"/>
      <c r="C59" s="18" t="n"/>
      <c r="D59" s="18" t="n"/>
      <c r="E59" s="18" t="n"/>
      <c r="F59" s="19" t="n"/>
      <c r="G59" s="18" t="n"/>
      <c r="H59">
        <f>IF(OR($E59="Raudt",$E59="Rødt",$E59="Raud",$E59="Rød"),3,IF($E59="Gult",2,IF(OR($E59="Grønt",$E59="Grøn",$E59="Grønn"),1,0)))</f>
        <v/>
      </c>
      <c r="I59">
        <f>IF(AND($C59&lt;&gt;"",$A59='Oversikt'!$C$4,$B59='Oversikt'!$C$5,$C59='Elevkort'!$C$4),MAX(I$1:I58)+1,"")</f>
        <v/>
      </c>
    </row>
    <row r="60" ht="20" customHeight="1">
      <c r="A60" s="18" t="n"/>
      <c r="B60" s="18" t="n"/>
      <c r="C60" s="18" t="n"/>
      <c r="D60" s="18" t="n"/>
      <c r="E60" s="18" t="n"/>
      <c r="F60" s="19" t="n"/>
      <c r="G60" s="18" t="n"/>
      <c r="H60">
        <f>IF(OR($E60="Raudt",$E60="Rødt",$E60="Raud",$E60="Rød"),3,IF($E60="Gult",2,IF(OR($E60="Grønt",$E60="Grøn",$E60="Grønn"),1,0)))</f>
        <v/>
      </c>
      <c r="I60">
        <f>IF(AND($C60&lt;&gt;"",$A60='Oversikt'!$C$4,$B60='Oversikt'!$C$5,$C60='Elevkort'!$C$4),MAX(I$1:I59)+1,"")</f>
        <v/>
      </c>
    </row>
    <row r="61" ht="20" customHeight="1">
      <c r="A61" s="18" t="n"/>
      <c r="B61" s="18" t="n"/>
      <c r="C61" s="18" t="n"/>
      <c r="D61" s="18" t="n"/>
      <c r="E61" s="18" t="n"/>
      <c r="F61" s="19" t="n"/>
      <c r="G61" s="18" t="n"/>
      <c r="H61">
        <f>IF(OR($E61="Raudt",$E61="Rødt",$E61="Raud",$E61="Rød"),3,IF($E61="Gult",2,IF(OR($E61="Grønt",$E61="Grøn",$E61="Grønn"),1,0)))</f>
        <v/>
      </c>
      <c r="I61">
        <f>IF(AND($C61&lt;&gt;"",$A61='Oversikt'!$C$4,$B61='Oversikt'!$C$5,$C61='Elevkort'!$C$4),MAX(I$1:I60)+1,"")</f>
        <v/>
      </c>
    </row>
    <row r="62" ht="20" customHeight="1">
      <c r="A62" s="18" t="n"/>
      <c r="B62" s="18" t="n"/>
      <c r="C62" s="18" t="n"/>
      <c r="D62" s="18" t="n"/>
      <c r="E62" s="18" t="n"/>
      <c r="F62" s="19" t="n"/>
      <c r="G62" s="18" t="n"/>
      <c r="H62">
        <f>IF(OR($E62="Raudt",$E62="Rødt",$E62="Raud",$E62="Rød"),3,IF($E62="Gult",2,IF(OR($E62="Grønt",$E62="Grøn",$E62="Grønn"),1,0)))</f>
        <v/>
      </c>
      <c r="I62">
        <f>IF(AND($C62&lt;&gt;"",$A62='Oversikt'!$C$4,$B62='Oversikt'!$C$5,$C62='Elevkort'!$C$4),MAX(I$1:I61)+1,"")</f>
        <v/>
      </c>
    </row>
    <row r="63" ht="20" customHeight="1">
      <c r="A63" s="18" t="n"/>
      <c r="B63" s="18" t="n"/>
      <c r="C63" s="18" t="n"/>
      <c r="D63" s="18" t="n"/>
      <c r="E63" s="18" t="n"/>
      <c r="F63" s="19" t="n"/>
      <c r="G63" s="18" t="n"/>
      <c r="H63">
        <f>IF(OR($E63="Raudt",$E63="Rødt",$E63="Raud",$E63="Rød"),3,IF($E63="Gult",2,IF(OR($E63="Grønt",$E63="Grøn",$E63="Grønn"),1,0)))</f>
        <v/>
      </c>
      <c r="I63">
        <f>IF(AND($C63&lt;&gt;"",$A63='Oversikt'!$C$4,$B63='Oversikt'!$C$5,$C63='Elevkort'!$C$4),MAX(I$1:I62)+1,"")</f>
        <v/>
      </c>
    </row>
    <row r="64" ht="20" customHeight="1">
      <c r="A64" s="18" t="n"/>
      <c r="B64" s="18" t="n"/>
      <c r="C64" s="18" t="n"/>
      <c r="D64" s="18" t="n"/>
      <c r="E64" s="18" t="n"/>
      <c r="F64" s="19" t="n"/>
      <c r="G64" s="18" t="n"/>
      <c r="H64">
        <f>IF(OR($E64="Raudt",$E64="Rødt",$E64="Raud",$E64="Rød"),3,IF($E64="Gult",2,IF(OR($E64="Grønt",$E64="Grøn",$E64="Grønn"),1,0)))</f>
        <v/>
      </c>
      <c r="I64">
        <f>IF(AND($C64&lt;&gt;"",$A64='Oversikt'!$C$4,$B64='Oversikt'!$C$5,$C64='Elevkort'!$C$4),MAX(I$1:I63)+1,"")</f>
        <v/>
      </c>
    </row>
    <row r="65" ht="20" customHeight="1">
      <c r="A65" s="18" t="n"/>
      <c r="B65" s="18" t="n"/>
      <c r="C65" s="18" t="n"/>
      <c r="D65" s="18" t="n"/>
      <c r="E65" s="18" t="n"/>
      <c r="F65" s="19" t="n"/>
      <c r="G65" s="18" t="n"/>
      <c r="H65">
        <f>IF(OR($E65="Raudt",$E65="Rødt",$E65="Raud",$E65="Rød"),3,IF($E65="Gult",2,IF(OR($E65="Grønt",$E65="Grøn",$E65="Grønn"),1,0)))</f>
        <v/>
      </c>
      <c r="I65">
        <f>IF(AND($C65&lt;&gt;"",$A65='Oversikt'!$C$4,$B65='Oversikt'!$C$5,$C65='Elevkort'!$C$4),MAX(I$1:I64)+1,"")</f>
        <v/>
      </c>
    </row>
    <row r="66" ht="20" customHeight="1">
      <c r="A66" s="18" t="n"/>
      <c r="B66" s="18" t="n"/>
      <c r="C66" s="18" t="n"/>
      <c r="D66" s="18" t="n"/>
      <c r="E66" s="18" t="n"/>
      <c r="F66" s="19" t="n"/>
      <c r="G66" s="18" t="n"/>
      <c r="H66">
        <f>IF(OR($E66="Raudt",$E66="Rødt",$E66="Raud",$E66="Rød"),3,IF($E66="Gult",2,IF(OR($E66="Grønt",$E66="Grøn",$E66="Grønn"),1,0)))</f>
        <v/>
      </c>
      <c r="I66">
        <f>IF(AND($C66&lt;&gt;"",$A66='Oversikt'!$C$4,$B66='Oversikt'!$C$5,$C66='Elevkort'!$C$4),MAX(I$1:I65)+1,"")</f>
        <v/>
      </c>
    </row>
    <row r="67" ht="20" customHeight="1">
      <c r="A67" s="18" t="n"/>
      <c r="B67" s="18" t="n"/>
      <c r="C67" s="18" t="n"/>
      <c r="D67" s="18" t="n"/>
      <c r="E67" s="18" t="n"/>
      <c r="F67" s="19" t="n"/>
      <c r="G67" s="18" t="n"/>
      <c r="H67">
        <f>IF(OR($E67="Raudt",$E67="Rødt",$E67="Raud",$E67="Rød"),3,IF($E67="Gult",2,IF(OR($E67="Grønt",$E67="Grøn",$E67="Grønn"),1,0)))</f>
        <v/>
      </c>
      <c r="I67">
        <f>IF(AND($C67&lt;&gt;"",$A67='Oversikt'!$C$4,$B67='Oversikt'!$C$5,$C67='Elevkort'!$C$4),MAX(I$1:I66)+1,"")</f>
        <v/>
      </c>
    </row>
    <row r="68" ht="20" customHeight="1">
      <c r="A68" s="18" t="n"/>
      <c r="B68" s="18" t="n"/>
      <c r="C68" s="18" t="n"/>
      <c r="D68" s="18" t="n"/>
      <c r="E68" s="18" t="n"/>
      <c r="F68" s="19" t="n"/>
      <c r="G68" s="18" t="n"/>
      <c r="H68">
        <f>IF(OR($E68="Raudt",$E68="Rødt",$E68="Raud",$E68="Rød"),3,IF($E68="Gult",2,IF(OR($E68="Grønt",$E68="Grøn",$E68="Grønn"),1,0)))</f>
        <v/>
      </c>
      <c r="I68">
        <f>IF(AND($C68&lt;&gt;"",$A68='Oversikt'!$C$4,$B68='Oversikt'!$C$5,$C68='Elevkort'!$C$4),MAX(I$1:I67)+1,"")</f>
        <v/>
      </c>
    </row>
    <row r="69" ht="20" customHeight="1">
      <c r="A69" s="18" t="n"/>
      <c r="B69" s="18" t="n"/>
      <c r="C69" s="18" t="n"/>
      <c r="D69" s="18" t="n"/>
      <c r="E69" s="18" t="n"/>
      <c r="F69" s="19" t="n"/>
      <c r="G69" s="18" t="n"/>
      <c r="H69">
        <f>IF(OR($E69="Raudt",$E69="Rødt",$E69="Raud",$E69="Rød"),3,IF($E69="Gult",2,IF(OR($E69="Grønt",$E69="Grøn",$E69="Grønn"),1,0)))</f>
        <v/>
      </c>
      <c r="I69">
        <f>IF(AND($C69&lt;&gt;"",$A69='Oversikt'!$C$4,$B69='Oversikt'!$C$5,$C69='Elevkort'!$C$4),MAX(I$1:I68)+1,"")</f>
        <v/>
      </c>
    </row>
    <row r="70" ht="20" customHeight="1">
      <c r="A70" s="18" t="n"/>
      <c r="B70" s="18" t="n"/>
      <c r="C70" s="18" t="n"/>
      <c r="D70" s="18" t="n"/>
      <c r="E70" s="18" t="n"/>
      <c r="F70" s="19" t="n"/>
      <c r="G70" s="18" t="n"/>
      <c r="H70">
        <f>IF(OR($E70="Raudt",$E70="Rødt",$E70="Raud",$E70="Rød"),3,IF($E70="Gult",2,IF(OR($E70="Grønt",$E70="Grøn",$E70="Grønn"),1,0)))</f>
        <v/>
      </c>
      <c r="I70">
        <f>IF(AND($C70&lt;&gt;"",$A70='Oversikt'!$C$4,$B70='Oversikt'!$C$5,$C70='Elevkort'!$C$4),MAX(I$1:I69)+1,"")</f>
        <v/>
      </c>
    </row>
    <row r="71" ht="20" customHeight="1">
      <c r="A71" s="18" t="n"/>
      <c r="B71" s="18" t="n"/>
      <c r="C71" s="18" t="n"/>
      <c r="D71" s="18" t="n"/>
      <c r="E71" s="18" t="n"/>
      <c r="F71" s="19" t="n"/>
      <c r="G71" s="18" t="n"/>
      <c r="H71">
        <f>IF(OR($E71="Raudt",$E71="Rødt",$E71="Raud",$E71="Rød"),3,IF($E71="Gult",2,IF(OR($E71="Grønt",$E71="Grøn",$E71="Grønn"),1,0)))</f>
        <v/>
      </c>
      <c r="I71">
        <f>IF(AND($C71&lt;&gt;"",$A71='Oversikt'!$C$4,$B71='Oversikt'!$C$5,$C71='Elevkort'!$C$4),MAX(I$1:I70)+1,"")</f>
        <v/>
      </c>
    </row>
    <row r="72" ht="20" customHeight="1">
      <c r="A72" s="18" t="n"/>
      <c r="B72" s="18" t="n"/>
      <c r="C72" s="18" t="n"/>
      <c r="D72" s="18" t="n"/>
      <c r="E72" s="18" t="n"/>
      <c r="F72" s="19" t="n"/>
      <c r="G72" s="18" t="n"/>
      <c r="H72">
        <f>IF(OR($E72="Raudt",$E72="Rødt",$E72="Raud",$E72="Rød"),3,IF($E72="Gult",2,IF(OR($E72="Grønt",$E72="Grøn",$E72="Grønn"),1,0)))</f>
        <v/>
      </c>
      <c r="I72">
        <f>IF(AND($C72&lt;&gt;"",$A72='Oversikt'!$C$4,$B72='Oversikt'!$C$5,$C72='Elevkort'!$C$4),MAX(I$1:I71)+1,"")</f>
        <v/>
      </c>
    </row>
    <row r="73" ht="20" customHeight="1">
      <c r="A73" s="18" t="n"/>
      <c r="B73" s="18" t="n"/>
      <c r="C73" s="18" t="n"/>
      <c r="D73" s="18" t="n"/>
      <c r="E73" s="18" t="n"/>
      <c r="F73" s="19" t="n"/>
      <c r="G73" s="18" t="n"/>
      <c r="H73">
        <f>IF(OR($E73="Raudt",$E73="Rødt",$E73="Raud",$E73="Rød"),3,IF($E73="Gult",2,IF(OR($E73="Grønt",$E73="Grøn",$E73="Grønn"),1,0)))</f>
        <v/>
      </c>
      <c r="I73">
        <f>IF(AND($C73&lt;&gt;"",$A73='Oversikt'!$C$4,$B73='Oversikt'!$C$5,$C73='Elevkort'!$C$4),MAX(I$1:I72)+1,"")</f>
        <v/>
      </c>
    </row>
    <row r="74" ht="20" customHeight="1">
      <c r="A74" s="18" t="n"/>
      <c r="B74" s="18" t="n"/>
      <c r="C74" s="18" t="n"/>
      <c r="D74" s="18" t="n"/>
      <c r="E74" s="18" t="n"/>
      <c r="F74" s="19" t="n"/>
      <c r="G74" s="18" t="n"/>
      <c r="H74">
        <f>IF(OR($E74="Raudt",$E74="Rødt",$E74="Raud",$E74="Rød"),3,IF($E74="Gult",2,IF(OR($E74="Grønt",$E74="Grøn",$E74="Grønn"),1,0)))</f>
        <v/>
      </c>
      <c r="I74">
        <f>IF(AND($C74&lt;&gt;"",$A74='Oversikt'!$C$4,$B74='Oversikt'!$C$5,$C74='Elevkort'!$C$4),MAX(I$1:I73)+1,"")</f>
        <v/>
      </c>
    </row>
    <row r="75" ht="20" customHeight="1">
      <c r="A75" s="18" t="n"/>
      <c r="B75" s="18" t="n"/>
      <c r="C75" s="18" t="n"/>
      <c r="D75" s="18" t="n"/>
      <c r="E75" s="18" t="n"/>
      <c r="F75" s="19" t="n"/>
      <c r="G75" s="18" t="n"/>
      <c r="H75">
        <f>IF(OR($E75="Raudt",$E75="Rødt",$E75="Raud",$E75="Rød"),3,IF($E75="Gult",2,IF(OR($E75="Grønt",$E75="Grøn",$E75="Grønn"),1,0)))</f>
        <v/>
      </c>
      <c r="I75">
        <f>IF(AND($C75&lt;&gt;"",$A75='Oversikt'!$C$4,$B75='Oversikt'!$C$5,$C75='Elevkort'!$C$4),MAX(I$1:I74)+1,"")</f>
        <v/>
      </c>
    </row>
    <row r="76" ht="20" customHeight="1">
      <c r="A76" s="18" t="n"/>
      <c r="B76" s="18" t="n"/>
      <c r="C76" s="18" t="n"/>
      <c r="D76" s="18" t="n"/>
      <c r="E76" s="18" t="n"/>
      <c r="F76" s="19" t="n"/>
      <c r="G76" s="18" t="n"/>
      <c r="H76">
        <f>IF(OR($E76="Raudt",$E76="Rødt",$E76="Raud",$E76="Rød"),3,IF($E76="Gult",2,IF(OR($E76="Grønt",$E76="Grøn",$E76="Grønn"),1,0)))</f>
        <v/>
      </c>
      <c r="I76">
        <f>IF(AND($C76&lt;&gt;"",$A76='Oversikt'!$C$4,$B76='Oversikt'!$C$5,$C76='Elevkort'!$C$4),MAX(I$1:I75)+1,"")</f>
        <v/>
      </c>
    </row>
    <row r="77" ht="20" customHeight="1">
      <c r="A77" s="18" t="n"/>
      <c r="B77" s="18" t="n"/>
      <c r="C77" s="18" t="n"/>
      <c r="D77" s="18" t="n"/>
      <c r="E77" s="18" t="n"/>
      <c r="F77" s="19" t="n"/>
      <c r="G77" s="18" t="n"/>
      <c r="H77">
        <f>IF(OR($E77="Raudt",$E77="Rødt",$E77="Raud",$E77="Rød"),3,IF($E77="Gult",2,IF(OR($E77="Grønt",$E77="Grøn",$E77="Grønn"),1,0)))</f>
        <v/>
      </c>
      <c r="I77">
        <f>IF(AND($C77&lt;&gt;"",$A77='Oversikt'!$C$4,$B77='Oversikt'!$C$5,$C77='Elevkort'!$C$4),MAX(I$1:I76)+1,"")</f>
        <v/>
      </c>
    </row>
    <row r="78" ht="20" customHeight="1">
      <c r="A78" s="18" t="n"/>
      <c r="B78" s="18" t="n"/>
      <c r="C78" s="18" t="n"/>
      <c r="D78" s="18" t="n"/>
      <c r="E78" s="18" t="n"/>
      <c r="F78" s="19" t="n"/>
      <c r="G78" s="18" t="n"/>
      <c r="H78">
        <f>IF(OR($E78="Raudt",$E78="Rødt",$E78="Raud",$E78="Rød"),3,IF($E78="Gult",2,IF(OR($E78="Grønt",$E78="Grøn",$E78="Grønn"),1,0)))</f>
        <v/>
      </c>
      <c r="I78">
        <f>IF(AND($C78&lt;&gt;"",$A78='Oversikt'!$C$4,$B78='Oversikt'!$C$5,$C78='Elevkort'!$C$4),MAX(I$1:I77)+1,"")</f>
        <v/>
      </c>
    </row>
    <row r="79" ht="20" customHeight="1">
      <c r="A79" s="18" t="n"/>
      <c r="B79" s="18" t="n"/>
      <c r="C79" s="18" t="n"/>
      <c r="D79" s="18" t="n"/>
      <c r="E79" s="18" t="n"/>
      <c r="F79" s="19" t="n"/>
      <c r="G79" s="18" t="n"/>
      <c r="H79">
        <f>IF(OR($E79="Raudt",$E79="Rødt",$E79="Raud",$E79="Rød"),3,IF($E79="Gult",2,IF(OR($E79="Grønt",$E79="Grøn",$E79="Grønn"),1,0)))</f>
        <v/>
      </c>
      <c r="I79">
        <f>IF(AND($C79&lt;&gt;"",$A79='Oversikt'!$C$4,$B79='Oversikt'!$C$5,$C79='Elevkort'!$C$4),MAX(I$1:I78)+1,"")</f>
        <v/>
      </c>
    </row>
    <row r="80" ht="20" customHeight="1">
      <c r="A80" s="18" t="n"/>
      <c r="B80" s="18" t="n"/>
      <c r="C80" s="18" t="n"/>
      <c r="D80" s="18" t="n"/>
      <c r="E80" s="18" t="n"/>
      <c r="F80" s="19" t="n"/>
      <c r="G80" s="18" t="n"/>
      <c r="H80">
        <f>IF(OR($E80="Raudt",$E80="Rødt",$E80="Raud",$E80="Rød"),3,IF($E80="Gult",2,IF(OR($E80="Grønt",$E80="Grøn",$E80="Grønn"),1,0)))</f>
        <v/>
      </c>
      <c r="I80">
        <f>IF(AND($C80&lt;&gt;"",$A80='Oversikt'!$C$4,$B80='Oversikt'!$C$5,$C80='Elevkort'!$C$4),MAX(I$1:I79)+1,"")</f>
        <v/>
      </c>
    </row>
    <row r="81" ht="20" customHeight="1">
      <c r="A81" s="18" t="n"/>
      <c r="B81" s="18" t="n"/>
      <c r="C81" s="18" t="n"/>
      <c r="D81" s="18" t="n"/>
      <c r="E81" s="18" t="n"/>
      <c r="F81" s="19" t="n"/>
      <c r="G81" s="18" t="n"/>
      <c r="H81">
        <f>IF(OR($E81="Raudt",$E81="Rødt",$E81="Raud",$E81="Rød"),3,IF($E81="Gult",2,IF(OR($E81="Grønt",$E81="Grøn",$E81="Grønn"),1,0)))</f>
        <v/>
      </c>
      <c r="I81">
        <f>IF(AND($C81&lt;&gt;"",$A81='Oversikt'!$C$4,$B81='Oversikt'!$C$5,$C81='Elevkort'!$C$4),MAX(I$1:I80)+1,"")</f>
        <v/>
      </c>
    </row>
    <row r="82" ht="20" customHeight="1">
      <c r="A82" s="18" t="n"/>
      <c r="B82" s="18" t="n"/>
      <c r="C82" s="18" t="n"/>
      <c r="D82" s="18" t="n"/>
      <c r="E82" s="18" t="n"/>
      <c r="F82" s="19" t="n"/>
      <c r="G82" s="18" t="n"/>
      <c r="H82">
        <f>IF(OR($E82="Raudt",$E82="Rødt",$E82="Raud",$E82="Rød"),3,IF($E82="Gult",2,IF(OR($E82="Grønt",$E82="Grøn",$E82="Grønn"),1,0)))</f>
        <v/>
      </c>
      <c r="I82">
        <f>IF(AND($C82&lt;&gt;"",$A82='Oversikt'!$C$4,$B82='Oversikt'!$C$5,$C82='Elevkort'!$C$4),MAX(I$1:I81)+1,"")</f>
        <v/>
      </c>
    </row>
    <row r="83" ht="20" customHeight="1">
      <c r="A83" s="18" t="n"/>
      <c r="B83" s="18" t="n"/>
      <c r="C83" s="18" t="n"/>
      <c r="D83" s="18" t="n"/>
      <c r="E83" s="18" t="n"/>
      <c r="F83" s="19" t="n"/>
      <c r="G83" s="18" t="n"/>
      <c r="H83">
        <f>IF(OR($E83="Raudt",$E83="Rødt",$E83="Raud",$E83="Rød"),3,IF($E83="Gult",2,IF(OR($E83="Grønt",$E83="Grøn",$E83="Grønn"),1,0)))</f>
        <v/>
      </c>
      <c r="I83">
        <f>IF(AND($C83&lt;&gt;"",$A83='Oversikt'!$C$4,$B83='Oversikt'!$C$5,$C83='Elevkort'!$C$4),MAX(I$1:I82)+1,"")</f>
        <v/>
      </c>
    </row>
    <row r="84" ht="20" customHeight="1">
      <c r="A84" s="18" t="n"/>
      <c r="B84" s="18" t="n"/>
      <c r="C84" s="18" t="n"/>
      <c r="D84" s="18" t="n"/>
      <c r="E84" s="18" t="n"/>
      <c r="F84" s="19" t="n"/>
      <c r="G84" s="18" t="n"/>
      <c r="H84">
        <f>IF(OR($E84="Raudt",$E84="Rødt",$E84="Raud",$E84="Rød"),3,IF($E84="Gult",2,IF(OR($E84="Grønt",$E84="Grøn",$E84="Grønn"),1,0)))</f>
        <v/>
      </c>
      <c r="I84">
        <f>IF(AND($C84&lt;&gt;"",$A84='Oversikt'!$C$4,$B84='Oversikt'!$C$5,$C84='Elevkort'!$C$4),MAX(I$1:I83)+1,"")</f>
        <v/>
      </c>
    </row>
    <row r="85" ht="20" customHeight="1">
      <c r="A85" s="18" t="n"/>
      <c r="B85" s="18" t="n"/>
      <c r="C85" s="18" t="n"/>
      <c r="D85" s="18" t="n"/>
      <c r="E85" s="18" t="n"/>
      <c r="F85" s="19" t="n"/>
      <c r="G85" s="18" t="n"/>
      <c r="H85">
        <f>IF(OR($E85="Raudt",$E85="Rødt",$E85="Raud",$E85="Rød"),3,IF($E85="Gult",2,IF(OR($E85="Grønt",$E85="Grøn",$E85="Grønn"),1,0)))</f>
        <v/>
      </c>
      <c r="I85">
        <f>IF(AND($C85&lt;&gt;"",$A85='Oversikt'!$C$4,$B85='Oversikt'!$C$5,$C85='Elevkort'!$C$4),MAX(I$1:I84)+1,"")</f>
        <v/>
      </c>
    </row>
    <row r="86" ht="20" customHeight="1">
      <c r="A86" s="18" t="n"/>
      <c r="B86" s="18" t="n"/>
      <c r="C86" s="18" t="n"/>
      <c r="D86" s="18" t="n"/>
      <c r="E86" s="18" t="n"/>
      <c r="F86" s="19" t="n"/>
      <c r="G86" s="18" t="n"/>
      <c r="H86">
        <f>IF(OR($E86="Raudt",$E86="Rødt",$E86="Raud",$E86="Rød"),3,IF($E86="Gult",2,IF(OR($E86="Grønt",$E86="Grøn",$E86="Grønn"),1,0)))</f>
        <v/>
      </c>
      <c r="I86">
        <f>IF(AND($C86&lt;&gt;"",$A86='Oversikt'!$C$4,$B86='Oversikt'!$C$5,$C86='Elevkort'!$C$4),MAX(I$1:I85)+1,"")</f>
        <v/>
      </c>
    </row>
    <row r="87" ht="20" customHeight="1">
      <c r="A87" s="18" t="n"/>
      <c r="B87" s="18" t="n"/>
      <c r="C87" s="18" t="n"/>
      <c r="D87" s="18" t="n"/>
      <c r="E87" s="18" t="n"/>
      <c r="F87" s="19" t="n"/>
      <c r="G87" s="18" t="n"/>
      <c r="H87">
        <f>IF(OR($E87="Raudt",$E87="Rødt",$E87="Raud",$E87="Rød"),3,IF($E87="Gult",2,IF(OR($E87="Grønt",$E87="Grøn",$E87="Grønn"),1,0)))</f>
        <v/>
      </c>
      <c r="I87">
        <f>IF(AND($C87&lt;&gt;"",$A87='Oversikt'!$C$4,$B87='Oversikt'!$C$5,$C87='Elevkort'!$C$4),MAX(I$1:I86)+1,"")</f>
        <v/>
      </c>
    </row>
    <row r="88" ht="20" customHeight="1">
      <c r="A88" s="18" t="n"/>
      <c r="B88" s="18" t="n"/>
      <c r="C88" s="18" t="n"/>
      <c r="D88" s="18" t="n"/>
      <c r="E88" s="18" t="n"/>
      <c r="F88" s="19" t="n"/>
      <c r="G88" s="18" t="n"/>
      <c r="H88">
        <f>IF(OR($E88="Raudt",$E88="Rødt",$E88="Raud",$E88="Rød"),3,IF($E88="Gult",2,IF(OR($E88="Grønt",$E88="Grøn",$E88="Grønn"),1,0)))</f>
        <v/>
      </c>
      <c r="I88">
        <f>IF(AND($C88&lt;&gt;"",$A88='Oversikt'!$C$4,$B88='Oversikt'!$C$5,$C88='Elevkort'!$C$4),MAX(I$1:I87)+1,"")</f>
        <v/>
      </c>
    </row>
    <row r="89" ht="20" customHeight="1">
      <c r="A89" s="18" t="n"/>
      <c r="B89" s="18" t="n"/>
      <c r="C89" s="18" t="n"/>
      <c r="D89" s="18" t="n"/>
      <c r="E89" s="18" t="n"/>
      <c r="F89" s="19" t="n"/>
      <c r="G89" s="18" t="n"/>
      <c r="H89">
        <f>IF(OR($E89="Raudt",$E89="Rødt",$E89="Raud",$E89="Rød"),3,IF($E89="Gult",2,IF(OR($E89="Grønt",$E89="Grøn",$E89="Grønn"),1,0)))</f>
        <v/>
      </c>
      <c r="I89">
        <f>IF(AND($C89&lt;&gt;"",$A89='Oversikt'!$C$4,$B89='Oversikt'!$C$5,$C89='Elevkort'!$C$4),MAX(I$1:I88)+1,"")</f>
        <v/>
      </c>
    </row>
    <row r="90" ht="20" customHeight="1">
      <c r="A90" s="18" t="n"/>
      <c r="B90" s="18" t="n"/>
      <c r="C90" s="18" t="n"/>
      <c r="D90" s="18" t="n"/>
      <c r="E90" s="18" t="n"/>
      <c r="F90" s="19" t="n"/>
      <c r="G90" s="18" t="n"/>
      <c r="H90">
        <f>IF(OR($E90="Raudt",$E90="Rødt",$E90="Raud",$E90="Rød"),3,IF($E90="Gult",2,IF(OR($E90="Grønt",$E90="Grøn",$E90="Grønn"),1,0)))</f>
        <v/>
      </c>
      <c r="I90">
        <f>IF(AND($C90&lt;&gt;"",$A90='Oversikt'!$C$4,$B90='Oversikt'!$C$5,$C90='Elevkort'!$C$4),MAX(I$1:I89)+1,"")</f>
        <v/>
      </c>
    </row>
    <row r="91" ht="20" customHeight="1">
      <c r="A91" s="18" t="n"/>
      <c r="B91" s="18" t="n"/>
      <c r="C91" s="18" t="n"/>
      <c r="D91" s="18" t="n"/>
      <c r="E91" s="18" t="n"/>
      <c r="F91" s="19" t="n"/>
      <c r="G91" s="18" t="n"/>
      <c r="H91">
        <f>IF(OR($E91="Raudt",$E91="Rødt",$E91="Raud",$E91="Rød"),3,IF($E91="Gult",2,IF(OR($E91="Grønt",$E91="Grøn",$E91="Grønn"),1,0)))</f>
        <v/>
      </c>
      <c r="I91">
        <f>IF(AND($C91&lt;&gt;"",$A91='Oversikt'!$C$4,$B91='Oversikt'!$C$5,$C91='Elevkort'!$C$4),MAX(I$1:I90)+1,"")</f>
        <v/>
      </c>
    </row>
    <row r="92" ht="20" customHeight="1">
      <c r="A92" s="18" t="n"/>
      <c r="B92" s="18" t="n"/>
      <c r="C92" s="18" t="n"/>
      <c r="D92" s="18" t="n"/>
      <c r="E92" s="18" t="n"/>
      <c r="F92" s="19" t="n"/>
      <c r="G92" s="18" t="n"/>
      <c r="H92">
        <f>IF(OR($E92="Raudt",$E92="Rødt",$E92="Raud",$E92="Rød"),3,IF($E92="Gult",2,IF(OR($E92="Grønt",$E92="Grøn",$E92="Grønn"),1,0)))</f>
        <v/>
      </c>
      <c r="I92">
        <f>IF(AND($C92&lt;&gt;"",$A92='Oversikt'!$C$4,$B92='Oversikt'!$C$5,$C92='Elevkort'!$C$4),MAX(I$1:I91)+1,"")</f>
        <v/>
      </c>
    </row>
    <row r="93" ht="20" customHeight="1">
      <c r="A93" s="18" t="n"/>
      <c r="B93" s="18" t="n"/>
      <c r="C93" s="18" t="n"/>
      <c r="D93" s="18" t="n"/>
      <c r="E93" s="18" t="n"/>
      <c r="F93" s="19" t="n"/>
      <c r="G93" s="18" t="n"/>
      <c r="H93">
        <f>IF(OR($E93="Raudt",$E93="Rødt",$E93="Raud",$E93="Rød"),3,IF($E93="Gult",2,IF(OR($E93="Grønt",$E93="Grøn",$E93="Grønn"),1,0)))</f>
        <v/>
      </c>
      <c r="I93">
        <f>IF(AND($C93&lt;&gt;"",$A93='Oversikt'!$C$4,$B93='Oversikt'!$C$5,$C93='Elevkort'!$C$4),MAX(I$1:I92)+1,"")</f>
        <v/>
      </c>
    </row>
    <row r="94" ht="20" customHeight="1">
      <c r="A94" s="18" t="n"/>
      <c r="B94" s="18" t="n"/>
      <c r="C94" s="18" t="n"/>
      <c r="D94" s="18" t="n"/>
      <c r="E94" s="18" t="n"/>
      <c r="F94" s="19" t="n"/>
      <c r="G94" s="18" t="n"/>
      <c r="H94">
        <f>IF(OR($E94="Raudt",$E94="Rødt",$E94="Raud",$E94="Rød"),3,IF($E94="Gult",2,IF(OR($E94="Grønt",$E94="Grøn",$E94="Grønn"),1,0)))</f>
        <v/>
      </c>
      <c r="I94">
        <f>IF(AND($C94&lt;&gt;"",$A94='Oversikt'!$C$4,$B94='Oversikt'!$C$5,$C94='Elevkort'!$C$4),MAX(I$1:I93)+1,"")</f>
        <v/>
      </c>
    </row>
    <row r="95" ht="20" customHeight="1">
      <c r="A95" s="18" t="n"/>
      <c r="B95" s="18" t="n"/>
      <c r="C95" s="18" t="n"/>
      <c r="D95" s="18" t="n"/>
      <c r="E95" s="18" t="n"/>
      <c r="F95" s="19" t="n"/>
      <c r="G95" s="18" t="n"/>
      <c r="H95">
        <f>IF(OR($E95="Raudt",$E95="Rødt",$E95="Raud",$E95="Rød"),3,IF($E95="Gult",2,IF(OR($E95="Grønt",$E95="Grøn",$E95="Grønn"),1,0)))</f>
        <v/>
      </c>
      <c r="I95">
        <f>IF(AND($C95&lt;&gt;"",$A95='Oversikt'!$C$4,$B95='Oversikt'!$C$5,$C95='Elevkort'!$C$4),MAX(I$1:I94)+1,"")</f>
        <v/>
      </c>
    </row>
    <row r="96" ht="20" customHeight="1">
      <c r="A96" s="18" t="n"/>
      <c r="B96" s="18" t="n"/>
      <c r="C96" s="18" t="n"/>
      <c r="D96" s="18" t="n"/>
      <c r="E96" s="18" t="n"/>
      <c r="F96" s="19" t="n"/>
      <c r="G96" s="18" t="n"/>
      <c r="H96">
        <f>IF(OR($E96="Raudt",$E96="Rødt",$E96="Raud",$E96="Rød"),3,IF($E96="Gult",2,IF(OR($E96="Grønt",$E96="Grøn",$E96="Grønn"),1,0)))</f>
        <v/>
      </c>
      <c r="I96">
        <f>IF(AND($C96&lt;&gt;"",$A96='Oversikt'!$C$4,$B96='Oversikt'!$C$5,$C96='Elevkort'!$C$4),MAX(I$1:I95)+1,"")</f>
        <v/>
      </c>
    </row>
    <row r="97" ht="20" customHeight="1">
      <c r="A97" s="18" t="n"/>
      <c r="B97" s="18" t="n"/>
      <c r="C97" s="18" t="n"/>
      <c r="D97" s="18" t="n"/>
      <c r="E97" s="18" t="n"/>
      <c r="F97" s="19" t="n"/>
      <c r="G97" s="18" t="n"/>
      <c r="H97">
        <f>IF(OR($E97="Raudt",$E97="Rødt",$E97="Raud",$E97="Rød"),3,IF($E97="Gult",2,IF(OR($E97="Grønt",$E97="Grøn",$E97="Grønn"),1,0)))</f>
        <v/>
      </c>
      <c r="I97">
        <f>IF(AND($C97&lt;&gt;"",$A97='Oversikt'!$C$4,$B97='Oversikt'!$C$5,$C97='Elevkort'!$C$4),MAX(I$1:I96)+1,"")</f>
        <v/>
      </c>
    </row>
    <row r="98" ht="20" customHeight="1">
      <c r="A98" s="18" t="n"/>
      <c r="B98" s="18" t="n"/>
      <c r="C98" s="18" t="n"/>
      <c r="D98" s="18" t="n"/>
      <c r="E98" s="18" t="n"/>
      <c r="F98" s="19" t="n"/>
      <c r="G98" s="18" t="n"/>
      <c r="H98">
        <f>IF(OR($E98="Raudt",$E98="Rødt",$E98="Raud",$E98="Rød"),3,IF($E98="Gult",2,IF(OR($E98="Grønt",$E98="Grøn",$E98="Grønn"),1,0)))</f>
        <v/>
      </c>
      <c r="I98">
        <f>IF(AND($C98&lt;&gt;"",$A98='Oversikt'!$C$4,$B98='Oversikt'!$C$5,$C98='Elevkort'!$C$4),MAX(I$1:I97)+1,"")</f>
        <v/>
      </c>
    </row>
    <row r="99" ht="20" customHeight="1">
      <c r="A99" s="18" t="n"/>
      <c r="B99" s="18" t="n"/>
      <c r="C99" s="18" t="n"/>
      <c r="D99" s="18" t="n"/>
      <c r="E99" s="18" t="n"/>
      <c r="F99" s="19" t="n"/>
      <c r="G99" s="18" t="n"/>
      <c r="H99">
        <f>IF(OR($E99="Raudt",$E99="Rødt",$E99="Raud",$E99="Rød"),3,IF($E99="Gult",2,IF(OR($E99="Grønt",$E99="Grøn",$E99="Grønn"),1,0)))</f>
        <v/>
      </c>
      <c r="I99">
        <f>IF(AND($C99&lt;&gt;"",$A99='Oversikt'!$C$4,$B99='Oversikt'!$C$5,$C99='Elevkort'!$C$4),MAX(I$1:I98)+1,"")</f>
        <v/>
      </c>
    </row>
    <row r="100" ht="20" customHeight="1">
      <c r="A100" s="18" t="n"/>
      <c r="B100" s="18" t="n"/>
      <c r="C100" s="18" t="n"/>
      <c r="D100" s="18" t="n"/>
      <c r="E100" s="18" t="n"/>
      <c r="F100" s="19" t="n"/>
      <c r="G100" s="18" t="n"/>
      <c r="H100">
        <f>IF(OR($E100="Raudt",$E100="Rødt",$E100="Raud",$E100="Rød"),3,IF($E100="Gult",2,IF(OR($E100="Grønt",$E100="Grøn",$E100="Grønn"),1,0)))</f>
        <v/>
      </c>
      <c r="I100">
        <f>IF(AND($C100&lt;&gt;"",$A100='Oversikt'!$C$4,$B100='Oversikt'!$C$5,$C100='Elevkort'!$C$4),MAX(I$1:I99)+1,"")</f>
        <v/>
      </c>
    </row>
    <row r="101" ht="20" customHeight="1">
      <c r="A101" s="18" t="n"/>
      <c r="B101" s="18" t="n"/>
      <c r="C101" s="18" t="n"/>
      <c r="D101" s="18" t="n"/>
      <c r="E101" s="18" t="n"/>
      <c r="F101" s="19" t="n"/>
      <c r="G101" s="18" t="n"/>
      <c r="H101">
        <f>IF(OR($E101="Raudt",$E101="Rødt",$E101="Raud",$E101="Rød"),3,IF($E101="Gult",2,IF(OR($E101="Grønt",$E101="Grøn",$E101="Grønn"),1,0)))</f>
        <v/>
      </c>
      <c r="I101">
        <f>IF(AND($C101&lt;&gt;"",$A101='Oversikt'!$C$4,$B101='Oversikt'!$C$5,$C101='Elevkort'!$C$4),MAX(I$1:I100)+1,"")</f>
        <v/>
      </c>
    </row>
    <row r="102" ht="20" customHeight="1">
      <c r="A102" s="18" t="n"/>
      <c r="B102" s="18" t="n"/>
      <c r="C102" s="18" t="n"/>
      <c r="D102" s="18" t="n"/>
      <c r="E102" s="18" t="n"/>
      <c r="F102" s="19" t="n"/>
      <c r="G102" s="18" t="n"/>
      <c r="H102">
        <f>IF(OR($E102="Raudt",$E102="Rødt",$E102="Raud",$E102="Rød"),3,IF($E102="Gult",2,IF(OR($E102="Grønt",$E102="Grøn",$E102="Grønn"),1,0)))</f>
        <v/>
      </c>
      <c r="I102">
        <f>IF(AND($C102&lt;&gt;"",$A102='Oversikt'!$C$4,$B102='Oversikt'!$C$5,$C102='Elevkort'!$C$4),MAX(I$1:I101)+1,"")</f>
        <v/>
      </c>
    </row>
    <row r="103" ht="20" customHeight="1">
      <c r="A103" s="18" t="n"/>
      <c r="B103" s="18" t="n"/>
      <c r="C103" s="18" t="n"/>
      <c r="D103" s="18" t="n"/>
      <c r="E103" s="18" t="n"/>
      <c r="F103" s="19" t="n"/>
      <c r="G103" s="18" t="n"/>
      <c r="H103">
        <f>IF(OR($E103="Raudt",$E103="Rødt",$E103="Raud",$E103="Rød"),3,IF($E103="Gult",2,IF(OR($E103="Grønt",$E103="Grøn",$E103="Grønn"),1,0)))</f>
        <v/>
      </c>
      <c r="I103">
        <f>IF(AND($C103&lt;&gt;"",$A103='Oversikt'!$C$4,$B103='Oversikt'!$C$5,$C103='Elevkort'!$C$4),MAX(I$1:I102)+1,"")</f>
        <v/>
      </c>
    </row>
    <row r="104" ht="20" customHeight="1">
      <c r="A104" s="18" t="n"/>
      <c r="B104" s="18" t="n"/>
      <c r="C104" s="18" t="n"/>
      <c r="D104" s="18" t="n"/>
      <c r="E104" s="18" t="n"/>
      <c r="F104" s="19" t="n"/>
      <c r="G104" s="18" t="n"/>
      <c r="H104">
        <f>IF(OR($E104="Raudt",$E104="Rødt",$E104="Raud",$E104="Rød"),3,IF($E104="Gult",2,IF(OR($E104="Grønt",$E104="Grøn",$E104="Grønn"),1,0)))</f>
        <v/>
      </c>
      <c r="I104">
        <f>IF(AND($C104&lt;&gt;"",$A104='Oversikt'!$C$4,$B104='Oversikt'!$C$5,$C104='Elevkort'!$C$4),MAX(I$1:I103)+1,"")</f>
        <v/>
      </c>
    </row>
    <row r="105" ht="20" customHeight="1">
      <c r="A105" s="18" t="n"/>
      <c r="B105" s="18" t="n"/>
      <c r="C105" s="18" t="n"/>
      <c r="D105" s="18" t="n"/>
      <c r="E105" s="18" t="n"/>
      <c r="F105" s="19" t="n"/>
      <c r="G105" s="18" t="n"/>
      <c r="H105">
        <f>IF(OR($E105="Raudt",$E105="Rødt",$E105="Raud",$E105="Rød"),3,IF($E105="Gult",2,IF(OR($E105="Grønt",$E105="Grøn",$E105="Grønn"),1,0)))</f>
        <v/>
      </c>
      <c r="I105">
        <f>IF(AND($C105&lt;&gt;"",$A105='Oversikt'!$C$4,$B105='Oversikt'!$C$5,$C105='Elevkort'!$C$4),MAX(I$1:I104)+1,"")</f>
        <v/>
      </c>
    </row>
    <row r="106" ht="20" customHeight="1">
      <c r="A106" s="18" t="n"/>
      <c r="B106" s="18" t="n"/>
      <c r="C106" s="18" t="n"/>
      <c r="D106" s="18" t="n"/>
      <c r="E106" s="18" t="n"/>
      <c r="F106" s="19" t="n"/>
      <c r="G106" s="18" t="n"/>
      <c r="H106">
        <f>IF(OR($E106="Raudt",$E106="Rødt",$E106="Raud",$E106="Rød"),3,IF($E106="Gult",2,IF(OR($E106="Grønt",$E106="Grøn",$E106="Grønn"),1,0)))</f>
        <v/>
      </c>
      <c r="I106">
        <f>IF(AND($C106&lt;&gt;"",$A106='Oversikt'!$C$4,$B106='Oversikt'!$C$5,$C106='Elevkort'!$C$4),MAX(I$1:I105)+1,"")</f>
        <v/>
      </c>
    </row>
    <row r="107" ht="20" customHeight="1">
      <c r="A107" s="18" t="n"/>
      <c r="B107" s="18" t="n"/>
      <c r="C107" s="18" t="n"/>
      <c r="D107" s="18" t="n"/>
      <c r="E107" s="18" t="n"/>
      <c r="F107" s="19" t="n"/>
      <c r="G107" s="18" t="n"/>
      <c r="H107">
        <f>IF(OR($E107="Raudt",$E107="Rødt",$E107="Raud",$E107="Rød"),3,IF($E107="Gult",2,IF(OR($E107="Grønt",$E107="Grøn",$E107="Grønn"),1,0)))</f>
        <v/>
      </c>
      <c r="I107">
        <f>IF(AND($C107&lt;&gt;"",$A107='Oversikt'!$C$4,$B107='Oversikt'!$C$5,$C107='Elevkort'!$C$4),MAX(I$1:I106)+1,"")</f>
        <v/>
      </c>
    </row>
    <row r="108" ht="20" customHeight="1">
      <c r="A108" s="18" t="n"/>
      <c r="B108" s="18" t="n"/>
      <c r="C108" s="18" t="n"/>
      <c r="D108" s="18" t="n"/>
      <c r="E108" s="18" t="n"/>
      <c r="F108" s="19" t="n"/>
      <c r="G108" s="18" t="n"/>
      <c r="H108">
        <f>IF(OR($E108="Raudt",$E108="Rødt",$E108="Raud",$E108="Rød"),3,IF($E108="Gult",2,IF(OR($E108="Grønt",$E108="Grøn",$E108="Grønn"),1,0)))</f>
        <v/>
      </c>
      <c r="I108">
        <f>IF(AND($C108&lt;&gt;"",$A108='Oversikt'!$C$4,$B108='Oversikt'!$C$5,$C108='Elevkort'!$C$4),MAX(I$1:I107)+1,"")</f>
        <v/>
      </c>
    </row>
    <row r="109" ht="20" customHeight="1">
      <c r="A109" s="18" t="n"/>
      <c r="B109" s="18" t="n"/>
      <c r="C109" s="18" t="n"/>
      <c r="D109" s="18" t="n"/>
      <c r="E109" s="18" t="n"/>
      <c r="F109" s="19" t="n"/>
      <c r="G109" s="18" t="n"/>
      <c r="H109">
        <f>IF(OR($E109="Raudt",$E109="Rødt",$E109="Raud",$E109="Rød"),3,IF($E109="Gult",2,IF(OR($E109="Grønt",$E109="Grøn",$E109="Grønn"),1,0)))</f>
        <v/>
      </c>
      <c r="I109">
        <f>IF(AND($C109&lt;&gt;"",$A109='Oversikt'!$C$4,$B109='Oversikt'!$C$5,$C109='Elevkort'!$C$4),MAX(I$1:I108)+1,"")</f>
        <v/>
      </c>
    </row>
    <row r="110" ht="20" customHeight="1">
      <c r="A110" s="18" t="n"/>
      <c r="B110" s="18" t="n"/>
      <c r="C110" s="18" t="n"/>
      <c r="D110" s="18" t="n"/>
      <c r="E110" s="18" t="n"/>
      <c r="F110" s="19" t="n"/>
      <c r="G110" s="18" t="n"/>
      <c r="H110">
        <f>IF(OR($E110="Raudt",$E110="Rødt",$E110="Raud",$E110="Rød"),3,IF($E110="Gult",2,IF(OR($E110="Grønt",$E110="Grøn",$E110="Grønn"),1,0)))</f>
        <v/>
      </c>
      <c r="I110">
        <f>IF(AND($C110&lt;&gt;"",$A110='Oversikt'!$C$4,$B110='Oversikt'!$C$5,$C110='Elevkort'!$C$4),MAX(I$1:I109)+1,"")</f>
        <v/>
      </c>
    </row>
    <row r="111" ht="20" customHeight="1">
      <c r="A111" s="18" t="n"/>
      <c r="B111" s="18" t="n"/>
      <c r="C111" s="18" t="n"/>
      <c r="D111" s="18" t="n"/>
      <c r="E111" s="18" t="n"/>
      <c r="F111" s="19" t="n"/>
      <c r="G111" s="18" t="n"/>
      <c r="H111">
        <f>IF(OR($E111="Raudt",$E111="Rødt",$E111="Raud",$E111="Rød"),3,IF($E111="Gult",2,IF(OR($E111="Grønt",$E111="Grøn",$E111="Grønn"),1,0)))</f>
        <v/>
      </c>
      <c r="I111">
        <f>IF(AND($C111&lt;&gt;"",$A111='Oversikt'!$C$4,$B111='Oversikt'!$C$5,$C111='Elevkort'!$C$4),MAX(I$1:I110)+1,"")</f>
        <v/>
      </c>
    </row>
    <row r="112" ht="20" customHeight="1">
      <c r="A112" s="18" t="n"/>
      <c r="B112" s="18" t="n"/>
      <c r="C112" s="18" t="n"/>
      <c r="D112" s="18" t="n"/>
      <c r="E112" s="18" t="n"/>
      <c r="F112" s="19" t="n"/>
      <c r="G112" s="18" t="n"/>
      <c r="H112">
        <f>IF(OR($E112="Raudt",$E112="Rødt",$E112="Raud",$E112="Rød"),3,IF($E112="Gult",2,IF(OR($E112="Grønt",$E112="Grøn",$E112="Grønn"),1,0)))</f>
        <v/>
      </c>
      <c r="I112">
        <f>IF(AND($C112&lt;&gt;"",$A112='Oversikt'!$C$4,$B112='Oversikt'!$C$5,$C112='Elevkort'!$C$4),MAX(I$1:I111)+1,"")</f>
        <v/>
      </c>
    </row>
    <row r="113" ht="20" customHeight="1">
      <c r="A113" s="18" t="n"/>
      <c r="B113" s="18" t="n"/>
      <c r="C113" s="18" t="n"/>
      <c r="D113" s="18" t="n"/>
      <c r="E113" s="18" t="n"/>
      <c r="F113" s="19" t="n"/>
      <c r="G113" s="18" t="n"/>
      <c r="H113">
        <f>IF(OR($E113="Raudt",$E113="Rødt",$E113="Raud",$E113="Rød"),3,IF($E113="Gult",2,IF(OR($E113="Grønt",$E113="Grøn",$E113="Grønn"),1,0)))</f>
        <v/>
      </c>
      <c r="I113">
        <f>IF(AND($C113&lt;&gt;"",$A113='Oversikt'!$C$4,$B113='Oversikt'!$C$5,$C113='Elevkort'!$C$4),MAX(I$1:I112)+1,"")</f>
        <v/>
      </c>
    </row>
    <row r="114" ht="20" customHeight="1">
      <c r="A114" s="18" t="n"/>
      <c r="B114" s="18" t="n"/>
      <c r="C114" s="18" t="n"/>
      <c r="D114" s="18" t="n"/>
      <c r="E114" s="18" t="n"/>
      <c r="F114" s="19" t="n"/>
      <c r="G114" s="18" t="n"/>
      <c r="H114">
        <f>IF(OR($E114="Raudt",$E114="Rødt",$E114="Raud",$E114="Rød"),3,IF($E114="Gult",2,IF(OR($E114="Grønt",$E114="Grøn",$E114="Grønn"),1,0)))</f>
        <v/>
      </c>
      <c r="I114">
        <f>IF(AND($C114&lt;&gt;"",$A114='Oversikt'!$C$4,$B114='Oversikt'!$C$5,$C114='Elevkort'!$C$4),MAX(I$1:I113)+1,"")</f>
        <v/>
      </c>
    </row>
    <row r="115" ht="20" customHeight="1">
      <c r="A115" s="18" t="n"/>
      <c r="B115" s="18" t="n"/>
      <c r="C115" s="18" t="n"/>
      <c r="D115" s="18" t="n"/>
      <c r="E115" s="18" t="n"/>
      <c r="F115" s="19" t="n"/>
      <c r="G115" s="18" t="n"/>
      <c r="H115">
        <f>IF(OR($E115="Raudt",$E115="Rødt",$E115="Raud",$E115="Rød"),3,IF($E115="Gult",2,IF(OR($E115="Grønt",$E115="Grøn",$E115="Grønn"),1,0)))</f>
        <v/>
      </c>
      <c r="I115">
        <f>IF(AND($C115&lt;&gt;"",$A115='Oversikt'!$C$4,$B115='Oversikt'!$C$5,$C115='Elevkort'!$C$4),MAX(I$1:I114)+1,"")</f>
        <v/>
      </c>
    </row>
    <row r="116" ht="20" customHeight="1">
      <c r="A116" s="18" t="n"/>
      <c r="B116" s="18" t="n"/>
      <c r="C116" s="18" t="n"/>
      <c r="D116" s="18" t="n"/>
      <c r="E116" s="18" t="n"/>
      <c r="F116" s="19" t="n"/>
      <c r="G116" s="18" t="n"/>
      <c r="H116">
        <f>IF(OR($E116="Raudt",$E116="Rødt",$E116="Raud",$E116="Rød"),3,IF($E116="Gult",2,IF(OR($E116="Grønt",$E116="Grøn",$E116="Grønn"),1,0)))</f>
        <v/>
      </c>
      <c r="I116">
        <f>IF(AND($C116&lt;&gt;"",$A116='Oversikt'!$C$4,$B116='Oversikt'!$C$5,$C116='Elevkort'!$C$4),MAX(I$1:I115)+1,"")</f>
        <v/>
      </c>
    </row>
    <row r="117" ht="20" customHeight="1">
      <c r="A117" s="18" t="n"/>
      <c r="B117" s="18" t="n"/>
      <c r="C117" s="18" t="n"/>
      <c r="D117" s="18" t="n"/>
      <c r="E117" s="18" t="n"/>
      <c r="F117" s="19" t="n"/>
      <c r="G117" s="18" t="n"/>
      <c r="H117">
        <f>IF(OR($E117="Raudt",$E117="Rødt",$E117="Raud",$E117="Rød"),3,IF($E117="Gult",2,IF(OR($E117="Grønt",$E117="Grøn",$E117="Grønn"),1,0)))</f>
        <v/>
      </c>
      <c r="I117">
        <f>IF(AND($C117&lt;&gt;"",$A117='Oversikt'!$C$4,$B117='Oversikt'!$C$5,$C117='Elevkort'!$C$4),MAX(I$1:I116)+1,"")</f>
        <v/>
      </c>
    </row>
    <row r="118" ht="20" customHeight="1">
      <c r="A118" s="18" t="n"/>
      <c r="B118" s="18" t="n"/>
      <c r="C118" s="18" t="n"/>
      <c r="D118" s="18" t="n"/>
      <c r="E118" s="18" t="n"/>
      <c r="F118" s="19" t="n"/>
      <c r="G118" s="18" t="n"/>
      <c r="H118">
        <f>IF(OR($E118="Raudt",$E118="Rødt",$E118="Raud",$E118="Rød"),3,IF($E118="Gult",2,IF(OR($E118="Grønt",$E118="Grøn",$E118="Grønn"),1,0)))</f>
        <v/>
      </c>
      <c r="I118">
        <f>IF(AND($C118&lt;&gt;"",$A118='Oversikt'!$C$4,$B118='Oversikt'!$C$5,$C118='Elevkort'!$C$4),MAX(I$1:I117)+1,"")</f>
        <v/>
      </c>
    </row>
    <row r="119" ht="20" customHeight="1">
      <c r="A119" s="18" t="n"/>
      <c r="B119" s="18" t="n"/>
      <c r="C119" s="18" t="n"/>
      <c r="D119" s="18" t="n"/>
      <c r="E119" s="18" t="n"/>
      <c r="F119" s="19" t="n"/>
      <c r="G119" s="18" t="n"/>
      <c r="H119">
        <f>IF(OR($E119="Raudt",$E119="Rødt",$E119="Raud",$E119="Rød"),3,IF($E119="Gult",2,IF(OR($E119="Grønt",$E119="Grøn",$E119="Grønn"),1,0)))</f>
        <v/>
      </c>
      <c r="I119">
        <f>IF(AND($C119&lt;&gt;"",$A119='Oversikt'!$C$4,$B119='Oversikt'!$C$5,$C119='Elevkort'!$C$4),MAX(I$1:I118)+1,"")</f>
        <v/>
      </c>
    </row>
    <row r="120" ht="20" customHeight="1">
      <c r="A120" s="18" t="n"/>
      <c r="B120" s="18" t="n"/>
      <c r="C120" s="18" t="n"/>
      <c r="D120" s="18" t="n"/>
      <c r="E120" s="18" t="n"/>
      <c r="F120" s="19" t="n"/>
      <c r="G120" s="18" t="n"/>
      <c r="H120">
        <f>IF(OR($E120="Raudt",$E120="Rødt",$E120="Raud",$E120="Rød"),3,IF($E120="Gult",2,IF(OR($E120="Grønt",$E120="Grøn",$E120="Grønn"),1,0)))</f>
        <v/>
      </c>
      <c r="I120">
        <f>IF(AND($C120&lt;&gt;"",$A120='Oversikt'!$C$4,$B120='Oversikt'!$C$5,$C120='Elevkort'!$C$4),MAX(I$1:I119)+1,"")</f>
        <v/>
      </c>
    </row>
    <row r="121" ht="20" customHeight="1">
      <c r="A121" s="18" t="n"/>
      <c r="B121" s="18" t="n"/>
      <c r="C121" s="18" t="n"/>
      <c r="D121" s="18" t="n"/>
      <c r="E121" s="18" t="n"/>
      <c r="F121" s="19" t="n"/>
      <c r="G121" s="18" t="n"/>
      <c r="H121">
        <f>IF(OR($E121="Raudt",$E121="Rødt",$E121="Raud",$E121="Rød"),3,IF($E121="Gult",2,IF(OR($E121="Grønt",$E121="Grøn",$E121="Grønn"),1,0)))</f>
        <v/>
      </c>
      <c r="I121">
        <f>IF(AND($C121&lt;&gt;"",$A121='Oversikt'!$C$4,$B121='Oversikt'!$C$5,$C121='Elevkort'!$C$4),MAX(I$1:I120)+1,"")</f>
        <v/>
      </c>
    </row>
    <row r="122" ht="20" customHeight="1">
      <c r="A122" s="18" t="n"/>
      <c r="B122" s="18" t="n"/>
      <c r="C122" s="18" t="n"/>
      <c r="D122" s="18" t="n"/>
      <c r="E122" s="18" t="n"/>
      <c r="F122" s="19" t="n"/>
      <c r="G122" s="18" t="n"/>
      <c r="H122">
        <f>IF(OR($E122="Raudt",$E122="Rødt",$E122="Raud",$E122="Rød"),3,IF($E122="Gult",2,IF(OR($E122="Grønt",$E122="Grøn",$E122="Grønn"),1,0)))</f>
        <v/>
      </c>
      <c r="I122">
        <f>IF(AND($C122&lt;&gt;"",$A122='Oversikt'!$C$4,$B122='Oversikt'!$C$5,$C122='Elevkort'!$C$4),MAX(I$1:I121)+1,"")</f>
        <v/>
      </c>
    </row>
    <row r="123" ht="20" customHeight="1">
      <c r="A123" s="18" t="n"/>
      <c r="B123" s="18" t="n"/>
      <c r="C123" s="18" t="n"/>
      <c r="D123" s="18" t="n"/>
      <c r="E123" s="18" t="n"/>
      <c r="F123" s="19" t="n"/>
      <c r="G123" s="18" t="n"/>
      <c r="H123">
        <f>IF(OR($E123="Raudt",$E123="Rødt",$E123="Raud",$E123="Rød"),3,IF($E123="Gult",2,IF(OR($E123="Grønt",$E123="Grøn",$E123="Grønn"),1,0)))</f>
        <v/>
      </c>
      <c r="I123">
        <f>IF(AND($C123&lt;&gt;"",$A123='Oversikt'!$C$4,$B123='Oversikt'!$C$5,$C123='Elevkort'!$C$4),MAX(I$1:I122)+1,"")</f>
        <v/>
      </c>
    </row>
    <row r="124" ht="20" customHeight="1">
      <c r="A124" s="18" t="n"/>
      <c r="B124" s="18" t="n"/>
      <c r="C124" s="18" t="n"/>
      <c r="D124" s="18" t="n"/>
      <c r="E124" s="18" t="n"/>
      <c r="F124" s="19" t="n"/>
      <c r="G124" s="18" t="n"/>
      <c r="H124">
        <f>IF(OR($E124="Raudt",$E124="Rødt",$E124="Raud",$E124="Rød"),3,IF($E124="Gult",2,IF(OR($E124="Grønt",$E124="Grøn",$E124="Grønn"),1,0)))</f>
        <v/>
      </c>
      <c r="I124">
        <f>IF(AND($C124&lt;&gt;"",$A124='Oversikt'!$C$4,$B124='Oversikt'!$C$5,$C124='Elevkort'!$C$4),MAX(I$1:I123)+1,"")</f>
        <v/>
      </c>
    </row>
    <row r="125" ht="20" customHeight="1">
      <c r="A125" s="18" t="n"/>
      <c r="B125" s="18" t="n"/>
      <c r="C125" s="18" t="n"/>
      <c r="D125" s="18" t="n"/>
      <c r="E125" s="18" t="n"/>
      <c r="F125" s="19" t="n"/>
      <c r="G125" s="18" t="n"/>
      <c r="H125">
        <f>IF(OR($E125="Raudt",$E125="Rødt",$E125="Raud",$E125="Rød"),3,IF($E125="Gult",2,IF(OR($E125="Grønt",$E125="Grøn",$E125="Grønn"),1,0)))</f>
        <v/>
      </c>
      <c r="I125">
        <f>IF(AND($C125&lt;&gt;"",$A125='Oversikt'!$C$4,$B125='Oversikt'!$C$5,$C125='Elevkort'!$C$4),MAX(I$1:I124)+1,"")</f>
        <v/>
      </c>
    </row>
    <row r="126" ht="20" customHeight="1">
      <c r="A126" s="18" t="n"/>
      <c r="B126" s="18" t="n"/>
      <c r="C126" s="18" t="n"/>
      <c r="D126" s="18" t="n"/>
      <c r="E126" s="18" t="n"/>
      <c r="F126" s="19" t="n"/>
      <c r="G126" s="18" t="n"/>
      <c r="H126">
        <f>IF(OR($E126="Raudt",$E126="Rødt",$E126="Raud",$E126="Rød"),3,IF($E126="Gult",2,IF(OR($E126="Grønt",$E126="Grøn",$E126="Grønn"),1,0)))</f>
        <v/>
      </c>
      <c r="I126">
        <f>IF(AND($C126&lt;&gt;"",$A126='Oversikt'!$C$4,$B126='Oversikt'!$C$5,$C126='Elevkort'!$C$4),MAX(I$1:I125)+1,"")</f>
        <v/>
      </c>
    </row>
    <row r="127" ht="20" customHeight="1">
      <c r="A127" s="18" t="n"/>
      <c r="B127" s="18" t="n"/>
      <c r="C127" s="18" t="n"/>
      <c r="D127" s="18" t="n"/>
      <c r="E127" s="18" t="n"/>
      <c r="F127" s="19" t="n"/>
      <c r="G127" s="18" t="n"/>
      <c r="H127">
        <f>IF(OR($E127="Raudt",$E127="Rødt",$E127="Raud",$E127="Rød"),3,IF($E127="Gult",2,IF(OR($E127="Grønt",$E127="Grøn",$E127="Grønn"),1,0)))</f>
        <v/>
      </c>
      <c r="I127">
        <f>IF(AND($C127&lt;&gt;"",$A127='Oversikt'!$C$4,$B127='Oversikt'!$C$5,$C127='Elevkort'!$C$4),MAX(I$1:I126)+1,"")</f>
        <v/>
      </c>
    </row>
    <row r="128" ht="20" customHeight="1">
      <c r="A128" s="18" t="n"/>
      <c r="B128" s="18" t="n"/>
      <c r="C128" s="18" t="n"/>
      <c r="D128" s="18" t="n"/>
      <c r="E128" s="18" t="n"/>
      <c r="F128" s="19" t="n"/>
      <c r="G128" s="18" t="n"/>
      <c r="H128">
        <f>IF(OR($E128="Raudt",$E128="Rødt",$E128="Raud",$E128="Rød"),3,IF($E128="Gult",2,IF(OR($E128="Grønt",$E128="Grøn",$E128="Grønn"),1,0)))</f>
        <v/>
      </c>
      <c r="I128">
        <f>IF(AND($C128&lt;&gt;"",$A128='Oversikt'!$C$4,$B128='Oversikt'!$C$5,$C128='Elevkort'!$C$4),MAX(I$1:I127)+1,"")</f>
        <v/>
      </c>
    </row>
    <row r="129" ht="20" customHeight="1">
      <c r="A129" s="18" t="n"/>
      <c r="B129" s="18" t="n"/>
      <c r="C129" s="18" t="n"/>
      <c r="D129" s="18" t="n"/>
      <c r="E129" s="18" t="n"/>
      <c r="F129" s="19" t="n"/>
      <c r="G129" s="18" t="n"/>
      <c r="H129">
        <f>IF(OR($E129="Raudt",$E129="Rødt",$E129="Raud",$E129="Rød"),3,IF($E129="Gult",2,IF(OR($E129="Grønt",$E129="Grøn",$E129="Grønn"),1,0)))</f>
        <v/>
      </c>
      <c r="I129">
        <f>IF(AND($C129&lt;&gt;"",$A129='Oversikt'!$C$4,$B129='Oversikt'!$C$5,$C129='Elevkort'!$C$4),MAX(I$1:I128)+1,"")</f>
        <v/>
      </c>
    </row>
    <row r="130" ht="20" customHeight="1">
      <c r="A130" s="18" t="n"/>
      <c r="B130" s="18" t="n"/>
      <c r="C130" s="18" t="n"/>
      <c r="D130" s="18" t="n"/>
      <c r="E130" s="18" t="n"/>
      <c r="F130" s="19" t="n"/>
      <c r="G130" s="18" t="n"/>
      <c r="H130">
        <f>IF(OR($E130="Raudt",$E130="Rødt",$E130="Raud",$E130="Rød"),3,IF($E130="Gult",2,IF(OR($E130="Grønt",$E130="Grøn",$E130="Grønn"),1,0)))</f>
        <v/>
      </c>
      <c r="I130">
        <f>IF(AND($C130&lt;&gt;"",$A130='Oversikt'!$C$4,$B130='Oversikt'!$C$5,$C130='Elevkort'!$C$4),MAX(I$1:I129)+1,"")</f>
        <v/>
      </c>
    </row>
    <row r="131" ht="20" customHeight="1">
      <c r="A131" s="18" t="n"/>
      <c r="B131" s="18" t="n"/>
      <c r="C131" s="18" t="n"/>
      <c r="D131" s="18" t="n"/>
      <c r="E131" s="18" t="n"/>
      <c r="F131" s="19" t="n"/>
      <c r="G131" s="18" t="n"/>
      <c r="H131">
        <f>IF(OR($E131="Raudt",$E131="Rødt",$E131="Raud",$E131="Rød"),3,IF($E131="Gult",2,IF(OR($E131="Grønt",$E131="Grøn",$E131="Grønn"),1,0)))</f>
        <v/>
      </c>
      <c r="I131">
        <f>IF(AND($C131&lt;&gt;"",$A131='Oversikt'!$C$4,$B131='Oversikt'!$C$5,$C131='Elevkort'!$C$4),MAX(I$1:I130)+1,"")</f>
        <v/>
      </c>
    </row>
    <row r="132" ht="20" customHeight="1">
      <c r="A132" s="18" t="n"/>
      <c r="B132" s="18" t="n"/>
      <c r="C132" s="18" t="n"/>
      <c r="D132" s="18" t="n"/>
      <c r="E132" s="18" t="n"/>
      <c r="F132" s="19" t="n"/>
      <c r="G132" s="18" t="n"/>
      <c r="H132">
        <f>IF(OR($E132="Raudt",$E132="Rødt",$E132="Raud",$E132="Rød"),3,IF($E132="Gult",2,IF(OR($E132="Grønt",$E132="Grøn",$E132="Grønn"),1,0)))</f>
        <v/>
      </c>
      <c r="I132">
        <f>IF(AND($C132&lt;&gt;"",$A132='Oversikt'!$C$4,$B132='Oversikt'!$C$5,$C132='Elevkort'!$C$4),MAX(I$1:I131)+1,"")</f>
        <v/>
      </c>
    </row>
    <row r="133" ht="20" customHeight="1">
      <c r="A133" s="18" t="n"/>
      <c r="B133" s="18" t="n"/>
      <c r="C133" s="18" t="n"/>
      <c r="D133" s="18" t="n"/>
      <c r="E133" s="18" t="n"/>
      <c r="F133" s="19" t="n"/>
      <c r="G133" s="18" t="n"/>
      <c r="H133">
        <f>IF(OR($E133="Raudt",$E133="Rødt",$E133="Raud",$E133="Rød"),3,IF($E133="Gult",2,IF(OR($E133="Grønt",$E133="Grøn",$E133="Grønn"),1,0)))</f>
        <v/>
      </c>
      <c r="I133">
        <f>IF(AND($C133&lt;&gt;"",$A133='Oversikt'!$C$4,$B133='Oversikt'!$C$5,$C133='Elevkort'!$C$4),MAX(I$1:I132)+1,"")</f>
        <v/>
      </c>
    </row>
    <row r="134" ht="20" customHeight="1">
      <c r="A134" s="18" t="n"/>
      <c r="B134" s="18" t="n"/>
      <c r="C134" s="18" t="n"/>
      <c r="D134" s="18" t="n"/>
      <c r="E134" s="18" t="n"/>
      <c r="F134" s="19" t="n"/>
      <c r="G134" s="18" t="n"/>
      <c r="H134">
        <f>IF(OR($E134="Raudt",$E134="Rødt",$E134="Raud",$E134="Rød"),3,IF($E134="Gult",2,IF(OR($E134="Grønt",$E134="Grøn",$E134="Grønn"),1,0)))</f>
        <v/>
      </c>
      <c r="I134">
        <f>IF(AND($C134&lt;&gt;"",$A134='Oversikt'!$C$4,$B134='Oversikt'!$C$5,$C134='Elevkort'!$C$4),MAX(I$1:I133)+1,"")</f>
        <v/>
      </c>
    </row>
    <row r="135" ht="20" customHeight="1">
      <c r="A135" s="18" t="n"/>
      <c r="B135" s="18" t="n"/>
      <c r="C135" s="18" t="n"/>
      <c r="D135" s="18" t="n"/>
      <c r="E135" s="18" t="n"/>
      <c r="F135" s="19" t="n"/>
      <c r="G135" s="18" t="n"/>
      <c r="H135">
        <f>IF(OR($E135="Raudt",$E135="Rødt",$E135="Raud",$E135="Rød"),3,IF($E135="Gult",2,IF(OR($E135="Grønt",$E135="Grøn",$E135="Grønn"),1,0)))</f>
        <v/>
      </c>
      <c r="I135">
        <f>IF(AND($C135&lt;&gt;"",$A135='Oversikt'!$C$4,$B135='Oversikt'!$C$5,$C135='Elevkort'!$C$4),MAX(I$1:I134)+1,"")</f>
        <v/>
      </c>
    </row>
    <row r="136" ht="20" customHeight="1">
      <c r="A136" s="18" t="n"/>
      <c r="B136" s="18" t="n"/>
      <c r="C136" s="18" t="n"/>
      <c r="D136" s="18" t="n"/>
      <c r="E136" s="18" t="n"/>
      <c r="F136" s="19" t="n"/>
      <c r="G136" s="18" t="n"/>
      <c r="H136">
        <f>IF(OR($E136="Raudt",$E136="Rødt",$E136="Raud",$E136="Rød"),3,IF($E136="Gult",2,IF(OR($E136="Grønt",$E136="Grøn",$E136="Grønn"),1,0)))</f>
        <v/>
      </c>
      <c r="I136">
        <f>IF(AND($C136&lt;&gt;"",$A136='Oversikt'!$C$4,$B136='Oversikt'!$C$5,$C136='Elevkort'!$C$4),MAX(I$1:I135)+1,"")</f>
        <v/>
      </c>
    </row>
    <row r="137" ht="20" customHeight="1">
      <c r="A137" s="18" t="n"/>
      <c r="B137" s="18" t="n"/>
      <c r="C137" s="18" t="n"/>
      <c r="D137" s="18" t="n"/>
      <c r="E137" s="18" t="n"/>
      <c r="F137" s="19" t="n"/>
      <c r="G137" s="18" t="n"/>
      <c r="H137">
        <f>IF(OR($E137="Raudt",$E137="Rødt",$E137="Raud",$E137="Rød"),3,IF($E137="Gult",2,IF(OR($E137="Grønt",$E137="Grøn",$E137="Grønn"),1,0)))</f>
        <v/>
      </c>
      <c r="I137">
        <f>IF(AND($C137&lt;&gt;"",$A137='Oversikt'!$C$4,$B137='Oversikt'!$C$5,$C137='Elevkort'!$C$4),MAX(I$1:I136)+1,"")</f>
        <v/>
      </c>
    </row>
    <row r="138" ht="20" customHeight="1">
      <c r="A138" s="18" t="n"/>
      <c r="B138" s="18" t="n"/>
      <c r="C138" s="18" t="n"/>
      <c r="D138" s="18" t="n"/>
      <c r="E138" s="18" t="n"/>
      <c r="F138" s="19" t="n"/>
      <c r="G138" s="18" t="n"/>
      <c r="H138">
        <f>IF(OR($E138="Raudt",$E138="Rødt",$E138="Raud",$E138="Rød"),3,IF($E138="Gult",2,IF(OR($E138="Grønt",$E138="Grøn",$E138="Grønn"),1,0)))</f>
        <v/>
      </c>
      <c r="I138">
        <f>IF(AND($C138&lt;&gt;"",$A138='Oversikt'!$C$4,$B138='Oversikt'!$C$5,$C138='Elevkort'!$C$4),MAX(I$1:I137)+1,"")</f>
        <v/>
      </c>
    </row>
    <row r="139" ht="20" customHeight="1">
      <c r="A139" s="18" t="n"/>
      <c r="B139" s="18" t="n"/>
      <c r="C139" s="18" t="n"/>
      <c r="D139" s="18" t="n"/>
      <c r="E139" s="18" t="n"/>
      <c r="F139" s="19" t="n"/>
      <c r="G139" s="18" t="n"/>
      <c r="H139">
        <f>IF(OR($E139="Raudt",$E139="Rødt",$E139="Raud",$E139="Rød"),3,IF($E139="Gult",2,IF(OR($E139="Grønt",$E139="Grøn",$E139="Grønn"),1,0)))</f>
        <v/>
      </c>
      <c r="I139">
        <f>IF(AND($C139&lt;&gt;"",$A139='Oversikt'!$C$4,$B139='Oversikt'!$C$5,$C139='Elevkort'!$C$4),MAX(I$1:I138)+1,"")</f>
        <v/>
      </c>
    </row>
    <row r="140" ht="20" customHeight="1">
      <c r="A140" s="18" t="n"/>
      <c r="B140" s="18" t="n"/>
      <c r="C140" s="18" t="n"/>
      <c r="D140" s="18" t="n"/>
      <c r="E140" s="18" t="n"/>
      <c r="F140" s="19" t="n"/>
      <c r="G140" s="18" t="n"/>
      <c r="H140">
        <f>IF(OR($E140="Raudt",$E140="Rødt",$E140="Raud",$E140="Rød"),3,IF($E140="Gult",2,IF(OR($E140="Grønt",$E140="Grøn",$E140="Grønn"),1,0)))</f>
        <v/>
      </c>
      <c r="I140">
        <f>IF(AND($C140&lt;&gt;"",$A140='Oversikt'!$C$4,$B140='Oversikt'!$C$5,$C140='Elevkort'!$C$4),MAX(I$1:I139)+1,"")</f>
        <v/>
      </c>
    </row>
    <row r="141" ht="20" customHeight="1">
      <c r="A141" s="18" t="n"/>
      <c r="B141" s="18" t="n"/>
      <c r="C141" s="18" t="n"/>
      <c r="D141" s="18" t="n"/>
      <c r="E141" s="18" t="n"/>
      <c r="F141" s="19" t="n"/>
      <c r="G141" s="18" t="n"/>
      <c r="H141">
        <f>IF(OR($E141="Raudt",$E141="Rødt",$E141="Raud",$E141="Rød"),3,IF($E141="Gult",2,IF(OR($E141="Grønt",$E141="Grøn",$E141="Grønn"),1,0)))</f>
        <v/>
      </c>
      <c r="I141">
        <f>IF(AND($C141&lt;&gt;"",$A141='Oversikt'!$C$4,$B141='Oversikt'!$C$5,$C141='Elevkort'!$C$4),MAX(I$1:I140)+1,"")</f>
        <v/>
      </c>
    </row>
    <row r="142" ht="20" customHeight="1">
      <c r="A142" s="18" t="n"/>
      <c r="B142" s="18" t="n"/>
      <c r="C142" s="18" t="n"/>
      <c r="D142" s="18" t="n"/>
      <c r="E142" s="18" t="n"/>
      <c r="F142" s="19" t="n"/>
      <c r="G142" s="18" t="n"/>
      <c r="H142">
        <f>IF(OR($E142="Raudt",$E142="Rødt",$E142="Raud",$E142="Rød"),3,IF($E142="Gult",2,IF(OR($E142="Grønt",$E142="Grøn",$E142="Grønn"),1,0)))</f>
        <v/>
      </c>
      <c r="I142">
        <f>IF(AND($C142&lt;&gt;"",$A142='Oversikt'!$C$4,$B142='Oversikt'!$C$5,$C142='Elevkort'!$C$4),MAX(I$1:I141)+1,"")</f>
        <v/>
      </c>
    </row>
    <row r="143" ht="20" customHeight="1">
      <c r="A143" s="18" t="n"/>
      <c r="B143" s="18" t="n"/>
      <c r="C143" s="18" t="n"/>
      <c r="D143" s="18" t="n"/>
      <c r="E143" s="18" t="n"/>
      <c r="F143" s="19" t="n"/>
      <c r="G143" s="18" t="n"/>
      <c r="H143">
        <f>IF(OR($E143="Raudt",$E143="Rødt",$E143="Raud",$E143="Rød"),3,IF($E143="Gult",2,IF(OR($E143="Grønt",$E143="Grøn",$E143="Grønn"),1,0)))</f>
        <v/>
      </c>
      <c r="I143">
        <f>IF(AND($C143&lt;&gt;"",$A143='Oversikt'!$C$4,$B143='Oversikt'!$C$5,$C143='Elevkort'!$C$4),MAX(I$1:I142)+1,"")</f>
        <v/>
      </c>
    </row>
    <row r="144" ht="20" customHeight="1">
      <c r="A144" s="18" t="n"/>
      <c r="B144" s="18" t="n"/>
      <c r="C144" s="18" t="n"/>
      <c r="D144" s="18" t="n"/>
      <c r="E144" s="18" t="n"/>
      <c r="F144" s="19" t="n"/>
      <c r="G144" s="18" t="n"/>
      <c r="H144">
        <f>IF(OR($E144="Raudt",$E144="Rødt",$E144="Raud",$E144="Rød"),3,IF($E144="Gult",2,IF(OR($E144="Grønt",$E144="Grøn",$E144="Grønn"),1,0)))</f>
        <v/>
      </c>
      <c r="I144">
        <f>IF(AND($C144&lt;&gt;"",$A144='Oversikt'!$C$4,$B144='Oversikt'!$C$5,$C144='Elevkort'!$C$4),MAX(I$1:I143)+1,"")</f>
        <v/>
      </c>
    </row>
    <row r="145" ht="20" customHeight="1">
      <c r="A145" s="18" t="n"/>
      <c r="B145" s="18" t="n"/>
      <c r="C145" s="18" t="n"/>
      <c r="D145" s="18" t="n"/>
      <c r="E145" s="18" t="n"/>
      <c r="F145" s="19" t="n"/>
      <c r="G145" s="18" t="n"/>
      <c r="H145">
        <f>IF(OR($E145="Raudt",$E145="Rødt",$E145="Raud",$E145="Rød"),3,IF($E145="Gult",2,IF(OR($E145="Grønt",$E145="Grøn",$E145="Grønn"),1,0)))</f>
        <v/>
      </c>
      <c r="I145">
        <f>IF(AND($C145&lt;&gt;"",$A145='Oversikt'!$C$4,$B145='Oversikt'!$C$5,$C145='Elevkort'!$C$4),MAX(I$1:I144)+1,"")</f>
        <v/>
      </c>
    </row>
    <row r="146" ht="20" customHeight="1">
      <c r="A146" s="18" t="n"/>
      <c r="B146" s="18" t="n"/>
      <c r="C146" s="18" t="n"/>
      <c r="D146" s="18" t="n"/>
      <c r="E146" s="18" t="n"/>
      <c r="F146" s="19" t="n"/>
      <c r="G146" s="18" t="n"/>
      <c r="H146">
        <f>IF(OR($E146="Raudt",$E146="Rødt",$E146="Raud",$E146="Rød"),3,IF($E146="Gult",2,IF(OR($E146="Grønt",$E146="Grøn",$E146="Grønn"),1,0)))</f>
        <v/>
      </c>
      <c r="I146">
        <f>IF(AND($C146&lt;&gt;"",$A146='Oversikt'!$C$4,$B146='Oversikt'!$C$5,$C146='Elevkort'!$C$4),MAX(I$1:I145)+1,"")</f>
        <v/>
      </c>
    </row>
    <row r="147" ht="20" customHeight="1">
      <c r="A147" s="18" t="n"/>
      <c r="B147" s="18" t="n"/>
      <c r="C147" s="18" t="n"/>
      <c r="D147" s="18" t="n"/>
      <c r="E147" s="18" t="n"/>
      <c r="F147" s="19" t="n"/>
      <c r="G147" s="18" t="n"/>
      <c r="H147">
        <f>IF(OR($E147="Raudt",$E147="Rødt",$E147="Raud",$E147="Rød"),3,IF($E147="Gult",2,IF(OR($E147="Grønt",$E147="Grøn",$E147="Grønn"),1,0)))</f>
        <v/>
      </c>
      <c r="I147">
        <f>IF(AND($C147&lt;&gt;"",$A147='Oversikt'!$C$4,$B147='Oversikt'!$C$5,$C147='Elevkort'!$C$4),MAX(I$1:I146)+1,"")</f>
        <v/>
      </c>
    </row>
    <row r="148" ht="20" customHeight="1">
      <c r="A148" s="18" t="n"/>
      <c r="B148" s="18" t="n"/>
      <c r="C148" s="18" t="n"/>
      <c r="D148" s="18" t="n"/>
      <c r="E148" s="18" t="n"/>
      <c r="F148" s="19" t="n"/>
      <c r="G148" s="18" t="n"/>
      <c r="H148">
        <f>IF(OR($E148="Raudt",$E148="Rødt",$E148="Raud",$E148="Rød"),3,IF($E148="Gult",2,IF(OR($E148="Grønt",$E148="Grøn",$E148="Grønn"),1,0)))</f>
        <v/>
      </c>
      <c r="I148">
        <f>IF(AND($C148&lt;&gt;"",$A148='Oversikt'!$C$4,$B148='Oversikt'!$C$5,$C148='Elevkort'!$C$4),MAX(I$1:I147)+1,"")</f>
        <v/>
      </c>
    </row>
    <row r="149" ht="20" customHeight="1">
      <c r="A149" s="18" t="n"/>
      <c r="B149" s="18" t="n"/>
      <c r="C149" s="18" t="n"/>
      <c r="D149" s="18" t="n"/>
      <c r="E149" s="18" t="n"/>
      <c r="F149" s="19" t="n"/>
      <c r="G149" s="18" t="n"/>
      <c r="H149">
        <f>IF(OR($E149="Raudt",$E149="Rødt",$E149="Raud",$E149="Rød"),3,IF($E149="Gult",2,IF(OR($E149="Grønt",$E149="Grøn",$E149="Grønn"),1,0)))</f>
        <v/>
      </c>
      <c r="I149">
        <f>IF(AND($C149&lt;&gt;"",$A149='Oversikt'!$C$4,$B149='Oversikt'!$C$5,$C149='Elevkort'!$C$4),MAX(I$1:I148)+1,"")</f>
        <v/>
      </c>
    </row>
    <row r="150" ht="20" customHeight="1">
      <c r="A150" s="18" t="n"/>
      <c r="B150" s="18" t="n"/>
      <c r="C150" s="18" t="n"/>
      <c r="D150" s="18" t="n"/>
      <c r="E150" s="18" t="n"/>
      <c r="F150" s="19" t="n"/>
      <c r="G150" s="18" t="n"/>
      <c r="H150">
        <f>IF(OR($E150="Raudt",$E150="Rødt",$E150="Raud",$E150="Rød"),3,IF($E150="Gult",2,IF(OR($E150="Grønt",$E150="Grøn",$E150="Grønn"),1,0)))</f>
        <v/>
      </c>
      <c r="I150">
        <f>IF(AND($C150&lt;&gt;"",$A150='Oversikt'!$C$4,$B150='Oversikt'!$C$5,$C150='Elevkort'!$C$4),MAX(I$1:I149)+1,"")</f>
        <v/>
      </c>
    </row>
    <row r="151" ht="20" customHeight="1">
      <c r="A151" s="18" t="n"/>
      <c r="B151" s="18" t="n"/>
      <c r="C151" s="18" t="n"/>
      <c r="D151" s="18" t="n"/>
      <c r="E151" s="18" t="n"/>
      <c r="F151" s="19" t="n"/>
      <c r="G151" s="18" t="n"/>
      <c r="H151">
        <f>IF(OR($E151="Raudt",$E151="Rødt",$E151="Raud",$E151="Rød"),3,IF($E151="Gult",2,IF(OR($E151="Grønt",$E151="Grøn",$E151="Grønn"),1,0)))</f>
        <v/>
      </c>
      <c r="I151">
        <f>IF(AND($C151&lt;&gt;"",$A151='Oversikt'!$C$4,$B151='Oversikt'!$C$5,$C151='Elevkort'!$C$4),MAX(I$1:I150)+1,"")</f>
        <v/>
      </c>
    </row>
    <row r="152" ht="20" customHeight="1">
      <c r="A152" s="18" t="n"/>
      <c r="B152" s="18" t="n"/>
      <c r="C152" s="18" t="n"/>
      <c r="D152" s="18" t="n"/>
      <c r="E152" s="18" t="n"/>
      <c r="F152" s="19" t="n"/>
      <c r="G152" s="18" t="n"/>
      <c r="H152">
        <f>IF(OR($E152="Raudt",$E152="Rødt",$E152="Raud",$E152="Rød"),3,IF($E152="Gult",2,IF(OR($E152="Grønt",$E152="Grøn",$E152="Grønn"),1,0)))</f>
        <v/>
      </c>
      <c r="I152">
        <f>IF(AND($C152&lt;&gt;"",$A152='Oversikt'!$C$4,$B152='Oversikt'!$C$5,$C152='Elevkort'!$C$4),MAX(I$1:I151)+1,"")</f>
        <v/>
      </c>
    </row>
    <row r="153" ht="20" customHeight="1">
      <c r="A153" s="18" t="n"/>
      <c r="B153" s="18" t="n"/>
      <c r="C153" s="18" t="n"/>
      <c r="D153" s="18" t="n"/>
      <c r="E153" s="18" t="n"/>
      <c r="F153" s="19" t="n"/>
      <c r="G153" s="18" t="n"/>
      <c r="H153">
        <f>IF(OR($E153="Raudt",$E153="Rødt",$E153="Raud",$E153="Rød"),3,IF($E153="Gult",2,IF(OR($E153="Grønt",$E153="Grøn",$E153="Grønn"),1,0)))</f>
        <v/>
      </c>
      <c r="I153">
        <f>IF(AND($C153&lt;&gt;"",$A153='Oversikt'!$C$4,$B153='Oversikt'!$C$5,$C153='Elevkort'!$C$4),MAX(I$1:I152)+1,"")</f>
        <v/>
      </c>
    </row>
    <row r="154" ht="20" customHeight="1">
      <c r="A154" s="18" t="n"/>
      <c r="B154" s="18" t="n"/>
      <c r="C154" s="18" t="n"/>
      <c r="D154" s="18" t="n"/>
      <c r="E154" s="18" t="n"/>
      <c r="F154" s="19" t="n"/>
      <c r="G154" s="18" t="n"/>
      <c r="H154">
        <f>IF(OR($E154="Raudt",$E154="Rødt",$E154="Raud",$E154="Rød"),3,IF($E154="Gult",2,IF(OR($E154="Grønt",$E154="Grøn",$E154="Grønn"),1,0)))</f>
        <v/>
      </c>
      <c r="I154">
        <f>IF(AND($C154&lt;&gt;"",$A154='Oversikt'!$C$4,$B154='Oversikt'!$C$5,$C154='Elevkort'!$C$4),MAX(I$1:I153)+1,"")</f>
        <v/>
      </c>
    </row>
    <row r="155" ht="20" customHeight="1">
      <c r="A155" s="18" t="n"/>
      <c r="B155" s="18" t="n"/>
      <c r="C155" s="18" t="n"/>
      <c r="D155" s="18" t="n"/>
      <c r="E155" s="18" t="n"/>
      <c r="F155" s="19" t="n"/>
      <c r="G155" s="18" t="n"/>
      <c r="H155">
        <f>IF(OR($E155="Raudt",$E155="Rødt",$E155="Raud",$E155="Rød"),3,IF($E155="Gult",2,IF(OR($E155="Grønt",$E155="Grøn",$E155="Grønn"),1,0)))</f>
        <v/>
      </c>
      <c r="I155">
        <f>IF(AND($C155&lt;&gt;"",$A155='Oversikt'!$C$4,$B155='Oversikt'!$C$5,$C155='Elevkort'!$C$4),MAX(I$1:I154)+1,"")</f>
        <v/>
      </c>
    </row>
    <row r="156" ht="20" customHeight="1">
      <c r="A156" s="18" t="n"/>
      <c r="B156" s="18" t="n"/>
      <c r="C156" s="18" t="n"/>
      <c r="D156" s="18" t="n"/>
      <c r="E156" s="18" t="n"/>
      <c r="F156" s="19" t="n"/>
      <c r="G156" s="18" t="n"/>
      <c r="H156">
        <f>IF(OR($E156="Raudt",$E156="Rødt",$E156="Raud",$E156="Rød"),3,IF($E156="Gult",2,IF(OR($E156="Grønt",$E156="Grøn",$E156="Grønn"),1,0)))</f>
        <v/>
      </c>
      <c r="I156">
        <f>IF(AND($C156&lt;&gt;"",$A156='Oversikt'!$C$4,$B156='Oversikt'!$C$5,$C156='Elevkort'!$C$4),MAX(I$1:I155)+1,"")</f>
        <v/>
      </c>
    </row>
    <row r="157" ht="20" customHeight="1">
      <c r="A157" s="18" t="n"/>
      <c r="B157" s="18" t="n"/>
      <c r="C157" s="18" t="n"/>
      <c r="D157" s="18" t="n"/>
      <c r="E157" s="18" t="n"/>
      <c r="F157" s="19" t="n"/>
      <c r="G157" s="18" t="n"/>
      <c r="H157">
        <f>IF(OR($E157="Raudt",$E157="Rødt",$E157="Raud",$E157="Rød"),3,IF($E157="Gult",2,IF(OR($E157="Grønt",$E157="Grøn",$E157="Grønn"),1,0)))</f>
        <v/>
      </c>
      <c r="I157">
        <f>IF(AND($C157&lt;&gt;"",$A157='Oversikt'!$C$4,$B157='Oversikt'!$C$5,$C157='Elevkort'!$C$4),MAX(I$1:I156)+1,"")</f>
        <v/>
      </c>
    </row>
    <row r="158" ht="20" customHeight="1">
      <c r="A158" s="18" t="n"/>
      <c r="B158" s="18" t="n"/>
      <c r="C158" s="18" t="n"/>
      <c r="D158" s="18" t="n"/>
      <c r="E158" s="18" t="n"/>
      <c r="F158" s="19" t="n"/>
      <c r="G158" s="18" t="n"/>
      <c r="H158">
        <f>IF(OR($E158="Raudt",$E158="Rødt",$E158="Raud",$E158="Rød"),3,IF($E158="Gult",2,IF(OR($E158="Grønt",$E158="Grøn",$E158="Grønn"),1,0)))</f>
        <v/>
      </c>
      <c r="I158">
        <f>IF(AND($C158&lt;&gt;"",$A158='Oversikt'!$C$4,$B158='Oversikt'!$C$5,$C158='Elevkort'!$C$4),MAX(I$1:I157)+1,"")</f>
        <v/>
      </c>
    </row>
    <row r="159" ht="20" customHeight="1">
      <c r="A159" s="18" t="n"/>
      <c r="B159" s="18" t="n"/>
      <c r="C159" s="18" t="n"/>
      <c r="D159" s="18" t="n"/>
      <c r="E159" s="18" t="n"/>
      <c r="F159" s="19" t="n"/>
      <c r="G159" s="18" t="n"/>
      <c r="H159">
        <f>IF(OR($E159="Raudt",$E159="Rødt",$E159="Raud",$E159="Rød"),3,IF($E159="Gult",2,IF(OR($E159="Grønt",$E159="Grøn",$E159="Grønn"),1,0)))</f>
        <v/>
      </c>
      <c r="I159">
        <f>IF(AND($C159&lt;&gt;"",$A159='Oversikt'!$C$4,$B159='Oversikt'!$C$5,$C159='Elevkort'!$C$4),MAX(I$1:I158)+1,"")</f>
        <v/>
      </c>
    </row>
    <row r="160" ht="20" customHeight="1">
      <c r="A160" s="18" t="n"/>
      <c r="B160" s="18" t="n"/>
      <c r="C160" s="18" t="n"/>
      <c r="D160" s="18" t="n"/>
      <c r="E160" s="18" t="n"/>
      <c r="F160" s="19" t="n"/>
      <c r="G160" s="18" t="n"/>
      <c r="H160">
        <f>IF(OR($E160="Raudt",$E160="Rødt",$E160="Raud",$E160="Rød"),3,IF($E160="Gult",2,IF(OR($E160="Grønt",$E160="Grøn",$E160="Grønn"),1,0)))</f>
        <v/>
      </c>
      <c r="I160">
        <f>IF(AND($C160&lt;&gt;"",$A160='Oversikt'!$C$4,$B160='Oversikt'!$C$5,$C160='Elevkort'!$C$4),MAX(I$1:I159)+1,"")</f>
        <v/>
      </c>
    </row>
    <row r="161" ht="20" customHeight="1">
      <c r="A161" s="18" t="n"/>
      <c r="B161" s="18" t="n"/>
      <c r="C161" s="18" t="n"/>
      <c r="D161" s="18" t="n"/>
      <c r="E161" s="18" t="n"/>
      <c r="F161" s="19" t="n"/>
      <c r="G161" s="18" t="n"/>
      <c r="H161">
        <f>IF(OR($E161="Raudt",$E161="Rødt",$E161="Raud",$E161="Rød"),3,IF($E161="Gult",2,IF(OR($E161="Grønt",$E161="Grøn",$E161="Grønn"),1,0)))</f>
        <v/>
      </c>
      <c r="I161">
        <f>IF(AND($C161&lt;&gt;"",$A161='Oversikt'!$C$4,$B161='Oversikt'!$C$5,$C161='Elevkort'!$C$4),MAX(I$1:I160)+1,"")</f>
        <v/>
      </c>
    </row>
    <row r="162" ht="20" customHeight="1">
      <c r="A162" s="18" t="n"/>
      <c r="B162" s="18" t="n"/>
      <c r="C162" s="18" t="n"/>
      <c r="D162" s="18" t="n"/>
      <c r="E162" s="18" t="n"/>
      <c r="F162" s="19" t="n"/>
      <c r="G162" s="18" t="n"/>
      <c r="H162">
        <f>IF(OR($E162="Raudt",$E162="Rødt",$E162="Raud",$E162="Rød"),3,IF($E162="Gult",2,IF(OR($E162="Grønt",$E162="Grøn",$E162="Grønn"),1,0)))</f>
        <v/>
      </c>
      <c r="I162">
        <f>IF(AND($C162&lt;&gt;"",$A162='Oversikt'!$C$4,$B162='Oversikt'!$C$5,$C162='Elevkort'!$C$4),MAX(I$1:I161)+1,"")</f>
        <v/>
      </c>
    </row>
    <row r="163" ht="20" customHeight="1">
      <c r="A163" s="18" t="n"/>
      <c r="B163" s="18" t="n"/>
      <c r="C163" s="18" t="n"/>
      <c r="D163" s="18" t="n"/>
      <c r="E163" s="18" t="n"/>
      <c r="F163" s="19" t="n"/>
      <c r="G163" s="18" t="n"/>
      <c r="H163">
        <f>IF(OR($E163="Raudt",$E163="Rødt",$E163="Raud",$E163="Rød"),3,IF($E163="Gult",2,IF(OR($E163="Grønt",$E163="Grøn",$E163="Grønn"),1,0)))</f>
        <v/>
      </c>
      <c r="I163">
        <f>IF(AND($C163&lt;&gt;"",$A163='Oversikt'!$C$4,$B163='Oversikt'!$C$5,$C163='Elevkort'!$C$4),MAX(I$1:I162)+1,"")</f>
        <v/>
      </c>
    </row>
    <row r="164" ht="20" customHeight="1">
      <c r="A164" s="18" t="n"/>
      <c r="B164" s="18" t="n"/>
      <c r="C164" s="18" t="n"/>
      <c r="D164" s="18" t="n"/>
      <c r="E164" s="18" t="n"/>
      <c r="F164" s="19" t="n"/>
      <c r="G164" s="18" t="n"/>
      <c r="H164">
        <f>IF(OR($E164="Raudt",$E164="Rødt",$E164="Raud",$E164="Rød"),3,IF($E164="Gult",2,IF(OR($E164="Grønt",$E164="Grøn",$E164="Grønn"),1,0)))</f>
        <v/>
      </c>
      <c r="I164">
        <f>IF(AND($C164&lt;&gt;"",$A164='Oversikt'!$C$4,$B164='Oversikt'!$C$5,$C164='Elevkort'!$C$4),MAX(I$1:I163)+1,"")</f>
        <v/>
      </c>
    </row>
    <row r="165" ht="20" customHeight="1">
      <c r="A165" s="18" t="n"/>
      <c r="B165" s="18" t="n"/>
      <c r="C165" s="18" t="n"/>
      <c r="D165" s="18" t="n"/>
      <c r="E165" s="18" t="n"/>
      <c r="F165" s="19" t="n"/>
      <c r="G165" s="18" t="n"/>
      <c r="H165">
        <f>IF(OR($E165="Raudt",$E165="Rødt",$E165="Raud",$E165="Rød"),3,IF($E165="Gult",2,IF(OR($E165="Grønt",$E165="Grøn",$E165="Grønn"),1,0)))</f>
        <v/>
      </c>
      <c r="I165">
        <f>IF(AND($C165&lt;&gt;"",$A165='Oversikt'!$C$4,$B165='Oversikt'!$C$5,$C165='Elevkort'!$C$4),MAX(I$1:I164)+1,"")</f>
        <v/>
      </c>
    </row>
    <row r="166" ht="20" customHeight="1">
      <c r="A166" s="18" t="n"/>
      <c r="B166" s="18" t="n"/>
      <c r="C166" s="18" t="n"/>
      <c r="D166" s="18" t="n"/>
      <c r="E166" s="18" t="n"/>
      <c r="F166" s="19" t="n"/>
      <c r="G166" s="18" t="n"/>
      <c r="H166">
        <f>IF(OR($E166="Raudt",$E166="Rødt",$E166="Raud",$E166="Rød"),3,IF($E166="Gult",2,IF(OR($E166="Grønt",$E166="Grøn",$E166="Grønn"),1,0)))</f>
        <v/>
      </c>
      <c r="I166">
        <f>IF(AND($C166&lt;&gt;"",$A166='Oversikt'!$C$4,$B166='Oversikt'!$C$5,$C166='Elevkort'!$C$4),MAX(I$1:I165)+1,"")</f>
        <v/>
      </c>
    </row>
    <row r="167" ht="20" customHeight="1">
      <c r="A167" s="18" t="n"/>
      <c r="B167" s="18" t="n"/>
      <c r="C167" s="18" t="n"/>
      <c r="D167" s="18" t="n"/>
      <c r="E167" s="18" t="n"/>
      <c r="F167" s="19" t="n"/>
      <c r="G167" s="18" t="n"/>
      <c r="H167">
        <f>IF(OR($E167="Raudt",$E167="Rødt",$E167="Raud",$E167="Rød"),3,IF($E167="Gult",2,IF(OR($E167="Grønt",$E167="Grøn",$E167="Grønn"),1,0)))</f>
        <v/>
      </c>
      <c r="I167">
        <f>IF(AND($C167&lt;&gt;"",$A167='Oversikt'!$C$4,$B167='Oversikt'!$C$5,$C167='Elevkort'!$C$4),MAX(I$1:I166)+1,"")</f>
        <v/>
      </c>
    </row>
    <row r="168" ht="20" customHeight="1">
      <c r="A168" s="18" t="n"/>
      <c r="B168" s="18" t="n"/>
      <c r="C168" s="18" t="n"/>
      <c r="D168" s="18" t="n"/>
      <c r="E168" s="18" t="n"/>
      <c r="F168" s="19" t="n"/>
      <c r="G168" s="18" t="n"/>
      <c r="H168">
        <f>IF(OR($E168="Raudt",$E168="Rødt",$E168="Raud",$E168="Rød"),3,IF($E168="Gult",2,IF(OR($E168="Grønt",$E168="Grøn",$E168="Grønn"),1,0)))</f>
        <v/>
      </c>
      <c r="I168">
        <f>IF(AND($C168&lt;&gt;"",$A168='Oversikt'!$C$4,$B168='Oversikt'!$C$5,$C168='Elevkort'!$C$4),MAX(I$1:I167)+1,"")</f>
        <v/>
      </c>
    </row>
    <row r="169" ht="20" customHeight="1">
      <c r="A169" s="18" t="n"/>
      <c r="B169" s="18" t="n"/>
      <c r="C169" s="18" t="n"/>
      <c r="D169" s="18" t="n"/>
      <c r="E169" s="18" t="n"/>
      <c r="F169" s="19" t="n"/>
      <c r="G169" s="18" t="n"/>
      <c r="H169">
        <f>IF(OR($E169="Raudt",$E169="Rødt",$E169="Raud",$E169="Rød"),3,IF($E169="Gult",2,IF(OR($E169="Grønt",$E169="Grøn",$E169="Grønn"),1,0)))</f>
        <v/>
      </c>
      <c r="I169">
        <f>IF(AND($C169&lt;&gt;"",$A169='Oversikt'!$C$4,$B169='Oversikt'!$C$5,$C169='Elevkort'!$C$4),MAX(I$1:I168)+1,"")</f>
        <v/>
      </c>
    </row>
    <row r="170" ht="20" customHeight="1">
      <c r="A170" s="18" t="n"/>
      <c r="B170" s="18" t="n"/>
      <c r="C170" s="18" t="n"/>
      <c r="D170" s="18" t="n"/>
      <c r="E170" s="18" t="n"/>
      <c r="F170" s="19" t="n"/>
      <c r="G170" s="18" t="n"/>
      <c r="H170">
        <f>IF(OR($E170="Raudt",$E170="Rødt",$E170="Raud",$E170="Rød"),3,IF($E170="Gult",2,IF(OR($E170="Grønt",$E170="Grøn",$E170="Grønn"),1,0)))</f>
        <v/>
      </c>
      <c r="I170">
        <f>IF(AND($C170&lt;&gt;"",$A170='Oversikt'!$C$4,$B170='Oversikt'!$C$5,$C170='Elevkort'!$C$4),MAX(I$1:I169)+1,"")</f>
        <v/>
      </c>
    </row>
    <row r="171" ht="20" customHeight="1">
      <c r="A171" s="18" t="n"/>
      <c r="B171" s="18" t="n"/>
      <c r="C171" s="18" t="n"/>
      <c r="D171" s="18" t="n"/>
      <c r="E171" s="18" t="n"/>
      <c r="F171" s="19" t="n"/>
      <c r="G171" s="18" t="n"/>
      <c r="H171">
        <f>IF(OR($E171="Raudt",$E171="Rødt",$E171="Raud",$E171="Rød"),3,IF($E171="Gult",2,IF(OR($E171="Grønt",$E171="Grøn",$E171="Grønn"),1,0)))</f>
        <v/>
      </c>
      <c r="I171">
        <f>IF(AND($C171&lt;&gt;"",$A171='Oversikt'!$C$4,$B171='Oversikt'!$C$5,$C171='Elevkort'!$C$4),MAX(I$1:I170)+1,"")</f>
        <v/>
      </c>
    </row>
    <row r="172" ht="20" customHeight="1">
      <c r="A172" s="18" t="n"/>
      <c r="B172" s="18" t="n"/>
      <c r="C172" s="18" t="n"/>
      <c r="D172" s="18" t="n"/>
      <c r="E172" s="18" t="n"/>
      <c r="F172" s="19" t="n"/>
      <c r="G172" s="18" t="n"/>
      <c r="H172">
        <f>IF(OR($E172="Raudt",$E172="Rødt",$E172="Raud",$E172="Rød"),3,IF($E172="Gult",2,IF(OR($E172="Grønt",$E172="Grøn",$E172="Grønn"),1,0)))</f>
        <v/>
      </c>
      <c r="I172">
        <f>IF(AND($C172&lt;&gt;"",$A172='Oversikt'!$C$4,$B172='Oversikt'!$C$5,$C172='Elevkort'!$C$4),MAX(I$1:I171)+1,"")</f>
        <v/>
      </c>
    </row>
    <row r="173" ht="20" customHeight="1">
      <c r="A173" s="18" t="n"/>
      <c r="B173" s="18" t="n"/>
      <c r="C173" s="18" t="n"/>
      <c r="D173" s="18" t="n"/>
      <c r="E173" s="18" t="n"/>
      <c r="F173" s="19" t="n"/>
      <c r="G173" s="18" t="n"/>
      <c r="H173">
        <f>IF(OR($E173="Raudt",$E173="Rødt",$E173="Raud",$E173="Rød"),3,IF($E173="Gult",2,IF(OR($E173="Grønt",$E173="Grøn",$E173="Grønn"),1,0)))</f>
        <v/>
      </c>
      <c r="I173">
        <f>IF(AND($C173&lt;&gt;"",$A173='Oversikt'!$C$4,$B173='Oversikt'!$C$5,$C173='Elevkort'!$C$4),MAX(I$1:I172)+1,"")</f>
        <v/>
      </c>
    </row>
    <row r="174" ht="20" customHeight="1">
      <c r="A174" s="18" t="n"/>
      <c r="B174" s="18" t="n"/>
      <c r="C174" s="18" t="n"/>
      <c r="D174" s="18" t="n"/>
      <c r="E174" s="18" t="n"/>
      <c r="F174" s="19" t="n"/>
      <c r="G174" s="18" t="n"/>
      <c r="H174">
        <f>IF(OR($E174="Raudt",$E174="Rødt",$E174="Raud",$E174="Rød"),3,IF($E174="Gult",2,IF(OR($E174="Grønt",$E174="Grøn",$E174="Grønn"),1,0)))</f>
        <v/>
      </c>
      <c r="I174">
        <f>IF(AND($C174&lt;&gt;"",$A174='Oversikt'!$C$4,$B174='Oversikt'!$C$5,$C174='Elevkort'!$C$4),MAX(I$1:I173)+1,"")</f>
        <v/>
      </c>
    </row>
    <row r="175" ht="20" customHeight="1">
      <c r="A175" s="18" t="n"/>
      <c r="B175" s="18" t="n"/>
      <c r="C175" s="18" t="n"/>
      <c r="D175" s="18" t="n"/>
      <c r="E175" s="18" t="n"/>
      <c r="F175" s="19" t="n"/>
      <c r="G175" s="18" t="n"/>
      <c r="H175">
        <f>IF(OR($E175="Raudt",$E175="Rødt",$E175="Raud",$E175="Rød"),3,IF($E175="Gult",2,IF(OR($E175="Grønt",$E175="Grøn",$E175="Grønn"),1,0)))</f>
        <v/>
      </c>
      <c r="I175">
        <f>IF(AND($C175&lt;&gt;"",$A175='Oversikt'!$C$4,$B175='Oversikt'!$C$5,$C175='Elevkort'!$C$4),MAX(I$1:I174)+1,"")</f>
        <v/>
      </c>
    </row>
    <row r="176" ht="20" customHeight="1">
      <c r="A176" s="18" t="n"/>
      <c r="B176" s="18" t="n"/>
      <c r="C176" s="18" t="n"/>
      <c r="D176" s="18" t="n"/>
      <c r="E176" s="18" t="n"/>
      <c r="F176" s="19" t="n"/>
      <c r="G176" s="18" t="n"/>
      <c r="H176">
        <f>IF(OR($E176="Raudt",$E176="Rødt",$E176="Raud",$E176="Rød"),3,IF($E176="Gult",2,IF(OR($E176="Grønt",$E176="Grøn",$E176="Grønn"),1,0)))</f>
        <v/>
      </c>
      <c r="I176">
        <f>IF(AND($C176&lt;&gt;"",$A176='Oversikt'!$C$4,$B176='Oversikt'!$C$5,$C176='Elevkort'!$C$4),MAX(I$1:I175)+1,"")</f>
        <v/>
      </c>
    </row>
    <row r="177" ht="20" customHeight="1">
      <c r="A177" s="18" t="n"/>
      <c r="B177" s="18" t="n"/>
      <c r="C177" s="18" t="n"/>
      <c r="D177" s="18" t="n"/>
      <c r="E177" s="18" t="n"/>
      <c r="F177" s="19" t="n"/>
      <c r="G177" s="18" t="n"/>
      <c r="H177">
        <f>IF(OR($E177="Raudt",$E177="Rødt",$E177="Raud",$E177="Rød"),3,IF($E177="Gult",2,IF(OR($E177="Grønt",$E177="Grøn",$E177="Grønn"),1,0)))</f>
        <v/>
      </c>
      <c r="I177">
        <f>IF(AND($C177&lt;&gt;"",$A177='Oversikt'!$C$4,$B177='Oversikt'!$C$5,$C177='Elevkort'!$C$4),MAX(I$1:I176)+1,"")</f>
        <v/>
      </c>
    </row>
    <row r="178" ht="20" customHeight="1">
      <c r="A178" s="18" t="n"/>
      <c r="B178" s="18" t="n"/>
      <c r="C178" s="18" t="n"/>
      <c r="D178" s="18" t="n"/>
      <c r="E178" s="18" t="n"/>
      <c r="F178" s="19" t="n"/>
      <c r="G178" s="18" t="n"/>
      <c r="H178">
        <f>IF(OR($E178="Raudt",$E178="Rødt",$E178="Raud",$E178="Rød"),3,IF($E178="Gult",2,IF(OR($E178="Grønt",$E178="Grøn",$E178="Grønn"),1,0)))</f>
        <v/>
      </c>
      <c r="I178">
        <f>IF(AND($C178&lt;&gt;"",$A178='Oversikt'!$C$4,$B178='Oversikt'!$C$5,$C178='Elevkort'!$C$4),MAX(I$1:I177)+1,"")</f>
        <v/>
      </c>
    </row>
    <row r="179" ht="20" customHeight="1">
      <c r="A179" s="18" t="n"/>
      <c r="B179" s="18" t="n"/>
      <c r="C179" s="18" t="n"/>
      <c r="D179" s="18" t="n"/>
      <c r="E179" s="18" t="n"/>
      <c r="F179" s="19" t="n"/>
      <c r="G179" s="18" t="n"/>
      <c r="H179">
        <f>IF(OR($E179="Raudt",$E179="Rødt",$E179="Raud",$E179="Rød"),3,IF($E179="Gult",2,IF(OR($E179="Grønt",$E179="Grøn",$E179="Grønn"),1,0)))</f>
        <v/>
      </c>
      <c r="I179">
        <f>IF(AND($C179&lt;&gt;"",$A179='Oversikt'!$C$4,$B179='Oversikt'!$C$5,$C179='Elevkort'!$C$4),MAX(I$1:I178)+1,"")</f>
        <v/>
      </c>
    </row>
    <row r="180" ht="20" customHeight="1">
      <c r="A180" s="18" t="n"/>
      <c r="B180" s="18" t="n"/>
      <c r="C180" s="18" t="n"/>
      <c r="D180" s="18" t="n"/>
      <c r="E180" s="18" t="n"/>
      <c r="F180" s="19" t="n"/>
      <c r="G180" s="18" t="n"/>
      <c r="H180">
        <f>IF(OR($E180="Raudt",$E180="Rødt",$E180="Raud",$E180="Rød"),3,IF($E180="Gult",2,IF(OR($E180="Grønt",$E180="Grøn",$E180="Grønn"),1,0)))</f>
        <v/>
      </c>
      <c r="I180">
        <f>IF(AND($C180&lt;&gt;"",$A180='Oversikt'!$C$4,$B180='Oversikt'!$C$5,$C180='Elevkort'!$C$4),MAX(I$1:I179)+1,"")</f>
        <v/>
      </c>
    </row>
    <row r="181" ht="20" customHeight="1">
      <c r="A181" s="18" t="n"/>
      <c r="B181" s="18" t="n"/>
      <c r="C181" s="18" t="n"/>
      <c r="D181" s="18" t="n"/>
      <c r="E181" s="18" t="n"/>
      <c r="F181" s="19" t="n"/>
      <c r="G181" s="18" t="n"/>
      <c r="H181">
        <f>IF(OR($E181="Raudt",$E181="Rødt",$E181="Raud",$E181="Rød"),3,IF($E181="Gult",2,IF(OR($E181="Grønt",$E181="Grøn",$E181="Grønn"),1,0)))</f>
        <v/>
      </c>
      <c r="I181">
        <f>IF(AND($C181&lt;&gt;"",$A181='Oversikt'!$C$4,$B181='Oversikt'!$C$5,$C181='Elevkort'!$C$4),MAX(I$1:I180)+1,"")</f>
        <v/>
      </c>
    </row>
    <row r="182" ht="20" customHeight="1">
      <c r="A182" s="18" t="n"/>
      <c r="B182" s="18" t="n"/>
      <c r="C182" s="18" t="n"/>
      <c r="D182" s="18" t="n"/>
      <c r="E182" s="18" t="n"/>
      <c r="F182" s="19" t="n"/>
      <c r="G182" s="18" t="n"/>
      <c r="H182">
        <f>IF(OR($E182="Raudt",$E182="Rødt",$E182="Raud",$E182="Rød"),3,IF($E182="Gult",2,IF(OR($E182="Grønt",$E182="Grøn",$E182="Grønn"),1,0)))</f>
        <v/>
      </c>
      <c r="I182">
        <f>IF(AND($C182&lt;&gt;"",$A182='Oversikt'!$C$4,$B182='Oversikt'!$C$5,$C182='Elevkort'!$C$4),MAX(I$1:I181)+1,"")</f>
        <v/>
      </c>
    </row>
    <row r="183" ht="20" customHeight="1">
      <c r="A183" s="18" t="n"/>
      <c r="B183" s="18" t="n"/>
      <c r="C183" s="18" t="n"/>
      <c r="D183" s="18" t="n"/>
      <c r="E183" s="18" t="n"/>
      <c r="F183" s="19" t="n"/>
      <c r="G183" s="18" t="n"/>
      <c r="H183">
        <f>IF(OR($E183="Raudt",$E183="Rødt",$E183="Raud",$E183="Rød"),3,IF($E183="Gult",2,IF(OR($E183="Grønt",$E183="Grøn",$E183="Grønn"),1,0)))</f>
        <v/>
      </c>
      <c r="I183">
        <f>IF(AND($C183&lt;&gt;"",$A183='Oversikt'!$C$4,$B183='Oversikt'!$C$5,$C183='Elevkort'!$C$4),MAX(I$1:I182)+1,"")</f>
        <v/>
      </c>
    </row>
    <row r="184" ht="20" customHeight="1">
      <c r="A184" s="18" t="n"/>
      <c r="B184" s="18" t="n"/>
      <c r="C184" s="18" t="n"/>
      <c r="D184" s="18" t="n"/>
      <c r="E184" s="18" t="n"/>
      <c r="F184" s="19" t="n"/>
      <c r="G184" s="18" t="n"/>
      <c r="H184">
        <f>IF(OR($E184="Raudt",$E184="Rødt",$E184="Raud",$E184="Rød"),3,IF($E184="Gult",2,IF(OR($E184="Grønt",$E184="Grøn",$E184="Grønn"),1,0)))</f>
        <v/>
      </c>
      <c r="I184">
        <f>IF(AND($C184&lt;&gt;"",$A184='Oversikt'!$C$4,$B184='Oversikt'!$C$5,$C184='Elevkort'!$C$4),MAX(I$1:I183)+1,"")</f>
        <v/>
      </c>
    </row>
    <row r="185" ht="20" customHeight="1">
      <c r="A185" s="18" t="n"/>
      <c r="B185" s="18" t="n"/>
      <c r="C185" s="18" t="n"/>
      <c r="D185" s="18" t="n"/>
      <c r="E185" s="18" t="n"/>
      <c r="F185" s="19" t="n"/>
      <c r="G185" s="18" t="n"/>
      <c r="H185">
        <f>IF(OR($E185="Raudt",$E185="Rødt",$E185="Raud",$E185="Rød"),3,IF($E185="Gult",2,IF(OR($E185="Grønt",$E185="Grøn",$E185="Grønn"),1,0)))</f>
        <v/>
      </c>
      <c r="I185">
        <f>IF(AND($C185&lt;&gt;"",$A185='Oversikt'!$C$4,$B185='Oversikt'!$C$5,$C185='Elevkort'!$C$4),MAX(I$1:I184)+1,"")</f>
        <v/>
      </c>
    </row>
    <row r="186" ht="20" customHeight="1">
      <c r="A186" s="18" t="n"/>
      <c r="B186" s="18" t="n"/>
      <c r="C186" s="18" t="n"/>
      <c r="D186" s="18" t="n"/>
      <c r="E186" s="18" t="n"/>
      <c r="F186" s="19" t="n"/>
      <c r="G186" s="18" t="n"/>
      <c r="H186">
        <f>IF(OR($E186="Raudt",$E186="Rødt",$E186="Raud",$E186="Rød"),3,IF($E186="Gult",2,IF(OR($E186="Grønt",$E186="Grøn",$E186="Grønn"),1,0)))</f>
        <v/>
      </c>
      <c r="I186">
        <f>IF(AND($C186&lt;&gt;"",$A186='Oversikt'!$C$4,$B186='Oversikt'!$C$5,$C186='Elevkort'!$C$4),MAX(I$1:I185)+1,"")</f>
        <v/>
      </c>
    </row>
    <row r="187" ht="20" customHeight="1">
      <c r="A187" s="18" t="n"/>
      <c r="B187" s="18" t="n"/>
      <c r="C187" s="18" t="n"/>
      <c r="D187" s="18" t="n"/>
      <c r="E187" s="18" t="n"/>
      <c r="F187" s="19" t="n"/>
      <c r="G187" s="18" t="n"/>
      <c r="H187">
        <f>IF(OR($E187="Raudt",$E187="Rødt",$E187="Raud",$E187="Rød"),3,IF($E187="Gult",2,IF(OR($E187="Grønt",$E187="Grøn",$E187="Grønn"),1,0)))</f>
        <v/>
      </c>
      <c r="I187">
        <f>IF(AND($C187&lt;&gt;"",$A187='Oversikt'!$C$4,$B187='Oversikt'!$C$5,$C187='Elevkort'!$C$4),MAX(I$1:I186)+1,"")</f>
        <v/>
      </c>
    </row>
    <row r="188" ht="20" customHeight="1">
      <c r="A188" s="18" t="n"/>
      <c r="B188" s="18" t="n"/>
      <c r="C188" s="18" t="n"/>
      <c r="D188" s="18" t="n"/>
      <c r="E188" s="18" t="n"/>
      <c r="F188" s="19" t="n"/>
      <c r="G188" s="18" t="n"/>
      <c r="H188">
        <f>IF(OR($E188="Raudt",$E188="Rødt",$E188="Raud",$E188="Rød"),3,IF($E188="Gult",2,IF(OR($E188="Grønt",$E188="Grøn",$E188="Grønn"),1,0)))</f>
        <v/>
      </c>
      <c r="I188">
        <f>IF(AND($C188&lt;&gt;"",$A188='Oversikt'!$C$4,$B188='Oversikt'!$C$5,$C188='Elevkort'!$C$4),MAX(I$1:I187)+1,"")</f>
        <v/>
      </c>
    </row>
    <row r="189" ht="20" customHeight="1">
      <c r="A189" s="18" t="n"/>
      <c r="B189" s="18" t="n"/>
      <c r="C189" s="18" t="n"/>
      <c r="D189" s="18" t="n"/>
      <c r="E189" s="18" t="n"/>
      <c r="F189" s="19" t="n"/>
      <c r="G189" s="18" t="n"/>
      <c r="H189">
        <f>IF(OR($E189="Raudt",$E189="Rødt",$E189="Raud",$E189="Rød"),3,IF($E189="Gult",2,IF(OR($E189="Grønt",$E189="Grøn",$E189="Grønn"),1,0)))</f>
        <v/>
      </c>
      <c r="I189">
        <f>IF(AND($C189&lt;&gt;"",$A189='Oversikt'!$C$4,$B189='Oversikt'!$C$5,$C189='Elevkort'!$C$4),MAX(I$1:I188)+1,"")</f>
        <v/>
      </c>
    </row>
    <row r="190" ht="20" customHeight="1">
      <c r="A190" s="18" t="n"/>
      <c r="B190" s="18" t="n"/>
      <c r="C190" s="18" t="n"/>
      <c r="D190" s="18" t="n"/>
      <c r="E190" s="18" t="n"/>
      <c r="F190" s="19" t="n"/>
      <c r="G190" s="18" t="n"/>
      <c r="H190">
        <f>IF(OR($E190="Raudt",$E190="Rødt",$E190="Raud",$E190="Rød"),3,IF($E190="Gult",2,IF(OR($E190="Grønt",$E190="Grøn",$E190="Grønn"),1,0)))</f>
        <v/>
      </c>
      <c r="I190">
        <f>IF(AND($C190&lt;&gt;"",$A190='Oversikt'!$C$4,$B190='Oversikt'!$C$5,$C190='Elevkort'!$C$4),MAX(I$1:I189)+1,"")</f>
        <v/>
      </c>
    </row>
    <row r="191" ht="20" customHeight="1">
      <c r="A191" s="18" t="n"/>
      <c r="B191" s="18" t="n"/>
      <c r="C191" s="18" t="n"/>
      <c r="D191" s="18" t="n"/>
      <c r="E191" s="18" t="n"/>
      <c r="F191" s="19" t="n"/>
      <c r="G191" s="18" t="n"/>
      <c r="H191">
        <f>IF(OR($E191="Raudt",$E191="Rødt",$E191="Raud",$E191="Rød"),3,IF($E191="Gult",2,IF(OR($E191="Grønt",$E191="Grøn",$E191="Grønn"),1,0)))</f>
        <v/>
      </c>
      <c r="I191">
        <f>IF(AND($C191&lt;&gt;"",$A191='Oversikt'!$C$4,$B191='Oversikt'!$C$5,$C191='Elevkort'!$C$4),MAX(I$1:I190)+1,"")</f>
        <v/>
      </c>
    </row>
    <row r="192" ht="20" customHeight="1">
      <c r="A192" s="18" t="n"/>
      <c r="B192" s="18" t="n"/>
      <c r="C192" s="18" t="n"/>
      <c r="D192" s="18" t="n"/>
      <c r="E192" s="18" t="n"/>
      <c r="F192" s="19" t="n"/>
      <c r="G192" s="18" t="n"/>
      <c r="H192">
        <f>IF(OR($E192="Raudt",$E192="Rødt",$E192="Raud",$E192="Rød"),3,IF($E192="Gult",2,IF(OR($E192="Grønt",$E192="Grøn",$E192="Grønn"),1,0)))</f>
        <v/>
      </c>
      <c r="I192">
        <f>IF(AND($C192&lt;&gt;"",$A192='Oversikt'!$C$4,$B192='Oversikt'!$C$5,$C192='Elevkort'!$C$4),MAX(I$1:I191)+1,"")</f>
        <v/>
      </c>
    </row>
    <row r="193" ht="20" customHeight="1">
      <c r="A193" s="18" t="n"/>
      <c r="B193" s="18" t="n"/>
      <c r="C193" s="18" t="n"/>
      <c r="D193" s="18" t="n"/>
      <c r="E193" s="18" t="n"/>
      <c r="F193" s="19" t="n"/>
      <c r="G193" s="18" t="n"/>
      <c r="H193">
        <f>IF(OR($E193="Raudt",$E193="Rødt",$E193="Raud",$E193="Rød"),3,IF($E193="Gult",2,IF(OR($E193="Grønt",$E193="Grøn",$E193="Grønn"),1,0)))</f>
        <v/>
      </c>
      <c r="I193">
        <f>IF(AND($C193&lt;&gt;"",$A193='Oversikt'!$C$4,$B193='Oversikt'!$C$5,$C193='Elevkort'!$C$4),MAX(I$1:I192)+1,"")</f>
        <v/>
      </c>
    </row>
    <row r="194" ht="20" customHeight="1">
      <c r="A194" s="18" t="n"/>
      <c r="B194" s="18" t="n"/>
      <c r="C194" s="18" t="n"/>
      <c r="D194" s="18" t="n"/>
      <c r="E194" s="18" t="n"/>
      <c r="F194" s="19" t="n"/>
      <c r="G194" s="18" t="n"/>
      <c r="H194">
        <f>IF(OR($E194="Raudt",$E194="Rødt",$E194="Raud",$E194="Rød"),3,IF($E194="Gult",2,IF(OR($E194="Grønt",$E194="Grøn",$E194="Grønn"),1,0)))</f>
        <v/>
      </c>
      <c r="I194">
        <f>IF(AND($C194&lt;&gt;"",$A194='Oversikt'!$C$4,$B194='Oversikt'!$C$5,$C194='Elevkort'!$C$4),MAX(I$1:I193)+1,"")</f>
        <v/>
      </c>
    </row>
    <row r="195" ht="20" customHeight="1">
      <c r="A195" s="18" t="n"/>
      <c r="B195" s="18" t="n"/>
      <c r="C195" s="18" t="n"/>
      <c r="D195" s="18" t="n"/>
      <c r="E195" s="18" t="n"/>
      <c r="F195" s="19" t="n"/>
      <c r="G195" s="18" t="n"/>
      <c r="H195">
        <f>IF(OR($E195="Raudt",$E195="Rødt",$E195="Raud",$E195="Rød"),3,IF($E195="Gult",2,IF(OR($E195="Grønt",$E195="Grøn",$E195="Grønn"),1,0)))</f>
        <v/>
      </c>
      <c r="I195">
        <f>IF(AND($C195&lt;&gt;"",$A195='Oversikt'!$C$4,$B195='Oversikt'!$C$5,$C195='Elevkort'!$C$4),MAX(I$1:I194)+1,"")</f>
        <v/>
      </c>
    </row>
    <row r="196" ht="20" customHeight="1">
      <c r="A196" s="18" t="n"/>
      <c r="B196" s="18" t="n"/>
      <c r="C196" s="18" t="n"/>
      <c r="D196" s="18" t="n"/>
      <c r="E196" s="18" t="n"/>
      <c r="F196" s="19" t="n"/>
      <c r="G196" s="18" t="n"/>
      <c r="H196">
        <f>IF(OR($E196="Raudt",$E196="Rødt",$E196="Raud",$E196="Rød"),3,IF($E196="Gult",2,IF(OR($E196="Grønt",$E196="Grøn",$E196="Grønn"),1,0)))</f>
        <v/>
      </c>
      <c r="I196">
        <f>IF(AND($C196&lt;&gt;"",$A196='Oversikt'!$C$4,$B196='Oversikt'!$C$5,$C196='Elevkort'!$C$4),MAX(I$1:I195)+1,"")</f>
        <v/>
      </c>
    </row>
    <row r="197" ht="20" customHeight="1">
      <c r="A197" s="18" t="n"/>
      <c r="B197" s="18" t="n"/>
      <c r="C197" s="18" t="n"/>
      <c r="D197" s="18" t="n"/>
      <c r="E197" s="18" t="n"/>
      <c r="F197" s="19" t="n"/>
      <c r="G197" s="18" t="n"/>
      <c r="H197">
        <f>IF(OR($E197="Raudt",$E197="Rødt",$E197="Raud",$E197="Rød"),3,IF($E197="Gult",2,IF(OR($E197="Grønt",$E197="Grøn",$E197="Grønn"),1,0)))</f>
        <v/>
      </c>
      <c r="I197">
        <f>IF(AND($C197&lt;&gt;"",$A197='Oversikt'!$C$4,$B197='Oversikt'!$C$5,$C197='Elevkort'!$C$4),MAX(I$1:I196)+1,"")</f>
        <v/>
      </c>
    </row>
    <row r="198" ht="20" customHeight="1">
      <c r="A198" s="18" t="n"/>
      <c r="B198" s="18" t="n"/>
      <c r="C198" s="18" t="n"/>
      <c r="D198" s="18" t="n"/>
      <c r="E198" s="18" t="n"/>
      <c r="F198" s="19" t="n"/>
      <c r="G198" s="18" t="n"/>
      <c r="H198">
        <f>IF(OR($E198="Raudt",$E198="Rødt",$E198="Raud",$E198="Rød"),3,IF($E198="Gult",2,IF(OR($E198="Grønt",$E198="Grøn",$E198="Grønn"),1,0)))</f>
        <v/>
      </c>
      <c r="I198">
        <f>IF(AND($C198&lt;&gt;"",$A198='Oversikt'!$C$4,$B198='Oversikt'!$C$5,$C198='Elevkort'!$C$4),MAX(I$1:I197)+1,"")</f>
        <v/>
      </c>
    </row>
    <row r="199" ht="20" customHeight="1">
      <c r="A199" s="18" t="n"/>
      <c r="B199" s="18" t="n"/>
      <c r="C199" s="18" t="n"/>
      <c r="D199" s="18" t="n"/>
      <c r="E199" s="18" t="n"/>
      <c r="F199" s="19" t="n"/>
      <c r="G199" s="18" t="n"/>
      <c r="H199">
        <f>IF(OR($E199="Raudt",$E199="Rødt",$E199="Raud",$E199="Rød"),3,IF($E199="Gult",2,IF(OR($E199="Grønt",$E199="Grøn",$E199="Grønn"),1,0)))</f>
        <v/>
      </c>
      <c r="I199">
        <f>IF(AND($C199&lt;&gt;"",$A199='Oversikt'!$C$4,$B199='Oversikt'!$C$5,$C199='Elevkort'!$C$4),MAX(I$1:I198)+1,"")</f>
        <v/>
      </c>
    </row>
    <row r="200" ht="20" customHeight="1">
      <c r="A200" s="18" t="n"/>
      <c r="B200" s="18" t="n"/>
      <c r="C200" s="18" t="n"/>
      <c r="D200" s="18" t="n"/>
      <c r="E200" s="18" t="n"/>
      <c r="F200" s="19" t="n"/>
      <c r="G200" s="18" t="n"/>
      <c r="H200">
        <f>IF(OR($E200="Raudt",$E200="Rødt",$E200="Raud",$E200="Rød"),3,IF($E200="Gult",2,IF(OR($E200="Grønt",$E200="Grøn",$E200="Grønn"),1,0)))</f>
        <v/>
      </c>
      <c r="I200">
        <f>IF(AND($C200&lt;&gt;"",$A200='Oversikt'!$C$4,$B200='Oversikt'!$C$5,$C200='Elevkort'!$C$4),MAX(I$1:I199)+1,"")</f>
        <v/>
      </c>
    </row>
    <row r="201" ht="20" customHeight="1">
      <c r="A201" s="18" t="n"/>
      <c r="B201" s="18" t="n"/>
      <c r="C201" s="18" t="n"/>
      <c r="D201" s="18" t="n"/>
      <c r="E201" s="18" t="n"/>
      <c r="F201" s="19" t="n"/>
      <c r="G201" s="18" t="n"/>
      <c r="H201">
        <f>IF(OR($E201="Raudt",$E201="Rødt",$E201="Raud",$E201="Rød"),3,IF($E201="Gult",2,IF(OR($E201="Grønt",$E201="Grøn",$E201="Grønn"),1,0)))</f>
        <v/>
      </c>
      <c r="I201">
        <f>IF(AND($C201&lt;&gt;"",$A201='Oversikt'!$C$4,$B201='Oversikt'!$C$5,$C201='Elevkort'!$C$4),MAX(I$1:I200)+1,"")</f>
        <v/>
      </c>
    </row>
    <row r="202" ht="20" customHeight="1">
      <c r="A202" s="18" t="n"/>
      <c r="B202" s="18" t="n"/>
      <c r="C202" s="18" t="n"/>
      <c r="D202" s="18" t="n"/>
      <c r="E202" s="18" t="n"/>
      <c r="F202" s="19" t="n"/>
      <c r="G202" s="18" t="n"/>
      <c r="H202">
        <f>IF(OR($E202="Raudt",$E202="Rødt",$E202="Raud",$E202="Rød"),3,IF($E202="Gult",2,IF(OR($E202="Grønt",$E202="Grøn",$E202="Grønn"),1,0)))</f>
        <v/>
      </c>
      <c r="I202">
        <f>IF(AND($C202&lt;&gt;"",$A202='Oversikt'!$C$4,$B202='Oversikt'!$C$5,$C202='Elevkort'!$C$4),MAX(I$1:I201)+1,"")</f>
        <v/>
      </c>
    </row>
    <row r="203" ht="20" customHeight="1">
      <c r="A203" s="18" t="n"/>
      <c r="B203" s="18" t="n"/>
      <c r="C203" s="18" t="n"/>
      <c r="D203" s="18" t="n"/>
      <c r="E203" s="18" t="n"/>
      <c r="F203" s="19" t="n"/>
      <c r="G203" s="18" t="n"/>
      <c r="H203">
        <f>IF(OR($E203="Raudt",$E203="Rødt",$E203="Raud",$E203="Rød"),3,IF($E203="Gult",2,IF(OR($E203="Grønt",$E203="Grøn",$E203="Grønn"),1,0)))</f>
        <v/>
      </c>
      <c r="I203">
        <f>IF(AND($C203&lt;&gt;"",$A203='Oversikt'!$C$4,$B203='Oversikt'!$C$5,$C203='Elevkort'!$C$4),MAX(I$1:I202)+1,"")</f>
        <v/>
      </c>
    </row>
    <row r="204" ht="20" customHeight="1">
      <c r="A204" s="18" t="n"/>
      <c r="B204" s="18" t="n"/>
      <c r="C204" s="18" t="n"/>
      <c r="D204" s="18" t="n"/>
      <c r="E204" s="18" t="n"/>
      <c r="F204" s="19" t="n"/>
      <c r="G204" s="18" t="n"/>
      <c r="H204">
        <f>IF(OR($E204="Raudt",$E204="Rødt",$E204="Raud",$E204="Rød"),3,IF($E204="Gult",2,IF(OR($E204="Grønt",$E204="Grøn",$E204="Grønn"),1,0)))</f>
        <v/>
      </c>
      <c r="I204">
        <f>IF(AND($C204&lt;&gt;"",$A204='Oversikt'!$C$4,$B204='Oversikt'!$C$5,$C204='Elevkort'!$C$4),MAX(I$1:I203)+1,"")</f>
        <v/>
      </c>
    </row>
    <row r="205" ht="20" customHeight="1">
      <c r="A205" s="18" t="n"/>
      <c r="B205" s="18" t="n"/>
      <c r="C205" s="18" t="n"/>
      <c r="D205" s="18" t="n"/>
      <c r="E205" s="18" t="n"/>
      <c r="F205" s="19" t="n"/>
      <c r="G205" s="18" t="n"/>
      <c r="H205">
        <f>IF(OR($E205="Raudt",$E205="Rødt",$E205="Raud",$E205="Rød"),3,IF($E205="Gult",2,IF(OR($E205="Grønt",$E205="Grøn",$E205="Grønn"),1,0)))</f>
        <v/>
      </c>
      <c r="I205">
        <f>IF(AND($C205&lt;&gt;"",$A205='Oversikt'!$C$4,$B205='Oversikt'!$C$5,$C205='Elevkort'!$C$4),MAX(I$1:I204)+1,"")</f>
        <v/>
      </c>
    </row>
    <row r="206" ht="20" customHeight="1">
      <c r="A206" s="18" t="n"/>
      <c r="B206" s="18" t="n"/>
      <c r="C206" s="18" t="n"/>
      <c r="D206" s="18" t="n"/>
      <c r="E206" s="18" t="n"/>
      <c r="F206" s="19" t="n"/>
      <c r="G206" s="18" t="n"/>
      <c r="H206">
        <f>IF(OR($E206="Raudt",$E206="Rødt",$E206="Raud",$E206="Rød"),3,IF($E206="Gult",2,IF(OR($E206="Grønt",$E206="Grøn",$E206="Grønn"),1,0)))</f>
        <v/>
      </c>
      <c r="I206">
        <f>IF(AND($C206&lt;&gt;"",$A206='Oversikt'!$C$4,$B206='Oversikt'!$C$5,$C206='Elevkort'!$C$4),MAX(I$1:I205)+1,"")</f>
        <v/>
      </c>
    </row>
    <row r="207" ht="20" customHeight="1">
      <c r="A207" s="18" t="n"/>
      <c r="B207" s="18" t="n"/>
      <c r="C207" s="18" t="n"/>
      <c r="D207" s="18" t="n"/>
      <c r="E207" s="18" t="n"/>
      <c r="F207" s="19" t="n"/>
      <c r="G207" s="18" t="n"/>
      <c r="H207">
        <f>IF(OR($E207="Raudt",$E207="Rødt",$E207="Raud",$E207="Rød"),3,IF($E207="Gult",2,IF(OR($E207="Grønt",$E207="Grøn",$E207="Grønn"),1,0)))</f>
        <v/>
      </c>
      <c r="I207">
        <f>IF(AND($C207&lt;&gt;"",$A207='Oversikt'!$C$4,$B207='Oversikt'!$C$5,$C207='Elevkort'!$C$4),MAX(I$1:I206)+1,"")</f>
        <v/>
      </c>
    </row>
    <row r="208" ht="20" customHeight="1">
      <c r="A208" s="18" t="n"/>
      <c r="B208" s="18" t="n"/>
      <c r="C208" s="18" t="n"/>
      <c r="D208" s="18" t="n"/>
      <c r="E208" s="18" t="n"/>
      <c r="F208" s="19" t="n"/>
      <c r="G208" s="18" t="n"/>
      <c r="H208">
        <f>IF(OR($E208="Raudt",$E208="Rødt",$E208="Raud",$E208="Rød"),3,IF($E208="Gult",2,IF(OR($E208="Grønt",$E208="Grøn",$E208="Grønn"),1,0)))</f>
        <v/>
      </c>
      <c r="I208">
        <f>IF(AND($C208&lt;&gt;"",$A208='Oversikt'!$C$4,$B208='Oversikt'!$C$5,$C208='Elevkort'!$C$4),MAX(I$1:I207)+1,"")</f>
        <v/>
      </c>
    </row>
    <row r="209" ht="20" customHeight="1">
      <c r="A209" s="18" t="n"/>
      <c r="B209" s="18" t="n"/>
      <c r="C209" s="18" t="n"/>
      <c r="D209" s="18" t="n"/>
      <c r="E209" s="18" t="n"/>
      <c r="F209" s="19" t="n"/>
      <c r="G209" s="18" t="n"/>
      <c r="H209">
        <f>IF(OR($E209="Raudt",$E209="Rødt",$E209="Raud",$E209="Rød"),3,IF($E209="Gult",2,IF(OR($E209="Grønt",$E209="Grøn",$E209="Grønn"),1,0)))</f>
        <v/>
      </c>
      <c r="I209">
        <f>IF(AND($C209&lt;&gt;"",$A209='Oversikt'!$C$4,$B209='Oversikt'!$C$5,$C209='Elevkort'!$C$4),MAX(I$1:I208)+1,"")</f>
        <v/>
      </c>
    </row>
    <row r="210" ht="20" customHeight="1">
      <c r="A210" s="18" t="n"/>
      <c r="B210" s="18" t="n"/>
      <c r="C210" s="18" t="n"/>
      <c r="D210" s="18" t="n"/>
      <c r="E210" s="18" t="n"/>
      <c r="F210" s="19" t="n"/>
      <c r="G210" s="18" t="n"/>
      <c r="H210">
        <f>IF(OR($E210="Raudt",$E210="Rødt",$E210="Raud",$E210="Rød"),3,IF($E210="Gult",2,IF(OR($E210="Grønt",$E210="Grøn",$E210="Grønn"),1,0)))</f>
        <v/>
      </c>
      <c r="I210">
        <f>IF(AND($C210&lt;&gt;"",$A210='Oversikt'!$C$4,$B210='Oversikt'!$C$5,$C210='Elevkort'!$C$4),MAX(I$1:I209)+1,"")</f>
        <v/>
      </c>
    </row>
    <row r="211" ht="20" customHeight="1">
      <c r="A211" s="18" t="n"/>
      <c r="B211" s="18" t="n"/>
      <c r="C211" s="18" t="n"/>
      <c r="D211" s="18" t="n"/>
      <c r="E211" s="18" t="n"/>
      <c r="F211" s="19" t="n"/>
      <c r="G211" s="18" t="n"/>
      <c r="H211">
        <f>IF(OR($E211="Raudt",$E211="Rødt",$E211="Raud",$E211="Rød"),3,IF($E211="Gult",2,IF(OR($E211="Grønt",$E211="Grøn",$E211="Grønn"),1,0)))</f>
        <v/>
      </c>
      <c r="I211">
        <f>IF(AND($C211&lt;&gt;"",$A211='Oversikt'!$C$4,$B211='Oversikt'!$C$5,$C211='Elevkort'!$C$4),MAX(I$1:I210)+1,"")</f>
        <v/>
      </c>
    </row>
    <row r="212" ht="20" customHeight="1">
      <c r="A212" s="18" t="n"/>
      <c r="B212" s="18" t="n"/>
      <c r="C212" s="18" t="n"/>
      <c r="D212" s="18" t="n"/>
      <c r="E212" s="18" t="n"/>
      <c r="F212" s="19" t="n"/>
      <c r="G212" s="18" t="n"/>
      <c r="H212">
        <f>IF(OR($E212="Raudt",$E212="Rødt",$E212="Raud",$E212="Rød"),3,IF($E212="Gult",2,IF(OR($E212="Grønt",$E212="Grøn",$E212="Grønn"),1,0)))</f>
        <v/>
      </c>
      <c r="I212">
        <f>IF(AND($C212&lt;&gt;"",$A212='Oversikt'!$C$4,$B212='Oversikt'!$C$5,$C212='Elevkort'!$C$4),MAX(I$1:I211)+1,"")</f>
        <v/>
      </c>
    </row>
    <row r="213" ht="20" customHeight="1">
      <c r="A213" s="18" t="n"/>
      <c r="B213" s="18" t="n"/>
      <c r="C213" s="18" t="n"/>
      <c r="D213" s="18" t="n"/>
      <c r="E213" s="18" t="n"/>
      <c r="F213" s="19" t="n"/>
      <c r="G213" s="18" t="n"/>
      <c r="H213">
        <f>IF(OR($E213="Raudt",$E213="Rødt",$E213="Raud",$E213="Rød"),3,IF($E213="Gult",2,IF(OR($E213="Grønt",$E213="Grøn",$E213="Grønn"),1,0)))</f>
        <v/>
      </c>
      <c r="I213">
        <f>IF(AND($C213&lt;&gt;"",$A213='Oversikt'!$C$4,$B213='Oversikt'!$C$5,$C213='Elevkort'!$C$4),MAX(I$1:I212)+1,"")</f>
        <v/>
      </c>
    </row>
    <row r="214" ht="20" customHeight="1">
      <c r="A214" s="18" t="n"/>
      <c r="B214" s="18" t="n"/>
      <c r="C214" s="18" t="n"/>
      <c r="D214" s="18" t="n"/>
      <c r="E214" s="18" t="n"/>
      <c r="F214" s="19" t="n"/>
      <c r="G214" s="18" t="n"/>
      <c r="H214">
        <f>IF(OR($E214="Raudt",$E214="Rødt",$E214="Raud",$E214="Rød"),3,IF($E214="Gult",2,IF(OR($E214="Grønt",$E214="Grøn",$E214="Grønn"),1,0)))</f>
        <v/>
      </c>
      <c r="I214">
        <f>IF(AND($C214&lt;&gt;"",$A214='Oversikt'!$C$4,$B214='Oversikt'!$C$5,$C214='Elevkort'!$C$4),MAX(I$1:I213)+1,"")</f>
        <v/>
      </c>
    </row>
    <row r="215" ht="20" customHeight="1">
      <c r="A215" s="18" t="n"/>
      <c r="B215" s="18" t="n"/>
      <c r="C215" s="18" t="n"/>
      <c r="D215" s="18" t="n"/>
      <c r="E215" s="18" t="n"/>
      <c r="F215" s="19" t="n"/>
      <c r="G215" s="18" t="n"/>
      <c r="H215">
        <f>IF(OR($E215="Raudt",$E215="Rødt",$E215="Raud",$E215="Rød"),3,IF($E215="Gult",2,IF(OR($E215="Grønt",$E215="Grøn",$E215="Grønn"),1,0)))</f>
        <v/>
      </c>
      <c r="I215">
        <f>IF(AND($C215&lt;&gt;"",$A215='Oversikt'!$C$4,$B215='Oversikt'!$C$5,$C215='Elevkort'!$C$4),MAX(I$1:I214)+1,"")</f>
        <v/>
      </c>
    </row>
    <row r="216" ht="20" customHeight="1">
      <c r="A216" s="18" t="n"/>
      <c r="B216" s="18" t="n"/>
      <c r="C216" s="18" t="n"/>
      <c r="D216" s="18" t="n"/>
      <c r="E216" s="18" t="n"/>
      <c r="F216" s="19" t="n"/>
      <c r="G216" s="18" t="n"/>
      <c r="H216">
        <f>IF(OR($E216="Raudt",$E216="Rødt",$E216="Raud",$E216="Rød"),3,IF($E216="Gult",2,IF(OR($E216="Grønt",$E216="Grøn",$E216="Grønn"),1,0)))</f>
        <v/>
      </c>
      <c r="I216">
        <f>IF(AND($C216&lt;&gt;"",$A216='Oversikt'!$C$4,$B216='Oversikt'!$C$5,$C216='Elevkort'!$C$4),MAX(I$1:I215)+1,"")</f>
        <v/>
      </c>
    </row>
    <row r="217" ht="20" customHeight="1">
      <c r="A217" s="18" t="n"/>
      <c r="B217" s="18" t="n"/>
      <c r="C217" s="18" t="n"/>
      <c r="D217" s="18" t="n"/>
      <c r="E217" s="18" t="n"/>
      <c r="F217" s="19" t="n"/>
      <c r="G217" s="18" t="n"/>
      <c r="H217">
        <f>IF(OR($E217="Raudt",$E217="Rødt",$E217="Raud",$E217="Rød"),3,IF($E217="Gult",2,IF(OR($E217="Grønt",$E217="Grøn",$E217="Grønn"),1,0)))</f>
        <v/>
      </c>
      <c r="I217">
        <f>IF(AND($C217&lt;&gt;"",$A217='Oversikt'!$C$4,$B217='Oversikt'!$C$5,$C217='Elevkort'!$C$4),MAX(I$1:I216)+1,"")</f>
        <v/>
      </c>
    </row>
    <row r="218" ht="20" customHeight="1">
      <c r="A218" s="18" t="n"/>
      <c r="B218" s="18" t="n"/>
      <c r="C218" s="18" t="n"/>
      <c r="D218" s="18" t="n"/>
      <c r="E218" s="18" t="n"/>
      <c r="F218" s="19" t="n"/>
      <c r="G218" s="18" t="n"/>
      <c r="H218">
        <f>IF(OR($E218="Raudt",$E218="Rødt",$E218="Raud",$E218="Rød"),3,IF($E218="Gult",2,IF(OR($E218="Grønt",$E218="Grøn",$E218="Grønn"),1,0)))</f>
        <v/>
      </c>
      <c r="I218">
        <f>IF(AND($C218&lt;&gt;"",$A218='Oversikt'!$C$4,$B218='Oversikt'!$C$5,$C218='Elevkort'!$C$4),MAX(I$1:I217)+1,"")</f>
        <v/>
      </c>
    </row>
    <row r="219" ht="20" customHeight="1">
      <c r="A219" s="18" t="n"/>
      <c r="B219" s="18" t="n"/>
      <c r="C219" s="18" t="n"/>
      <c r="D219" s="18" t="n"/>
      <c r="E219" s="18" t="n"/>
      <c r="F219" s="19" t="n"/>
      <c r="G219" s="18" t="n"/>
      <c r="H219">
        <f>IF(OR($E219="Raudt",$E219="Rødt",$E219="Raud",$E219="Rød"),3,IF($E219="Gult",2,IF(OR($E219="Grønt",$E219="Grøn",$E219="Grønn"),1,0)))</f>
        <v/>
      </c>
      <c r="I219">
        <f>IF(AND($C219&lt;&gt;"",$A219='Oversikt'!$C$4,$B219='Oversikt'!$C$5,$C219='Elevkort'!$C$4),MAX(I$1:I218)+1,"")</f>
        <v/>
      </c>
    </row>
    <row r="220" ht="20" customHeight="1">
      <c r="A220" s="18" t="n"/>
      <c r="B220" s="18" t="n"/>
      <c r="C220" s="18" t="n"/>
      <c r="D220" s="18" t="n"/>
      <c r="E220" s="18" t="n"/>
      <c r="F220" s="19" t="n"/>
      <c r="G220" s="18" t="n"/>
      <c r="H220">
        <f>IF(OR($E220="Raudt",$E220="Rødt",$E220="Raud",$E220="Rød"),3,IF($E220="Gult",2,IF(OR($E220="Grønt",$E220="Grøn",$E220="Grønn"),1,0)))</f>
        <v/>
      </c>
      <c r="I220">
        <f>IF(AND($C220&lt;&gt;"",$A220='Oversikt'!$C$4,$B220='Oversikt'!$C$5,$C220='Elevkort'!$C$4),MAX(I$1:I219)+1,"")</f>
        <v/>
      </c>
    </row>
    <row r="221" ht="20" customHeight="1">
      <c r="A221" s="18" t="n"/>
      <c r="B221" s="18" t="n"/>
      <c r="C221" s="18" t="n"/>
      <c r="D221" s="18" t="n"/>
      <c r="E221" s="18" t="n"/>
      <c r="F221" s="19" t="n"/>
      <c r="G221" s="18" t="n"/>
      <c r="H221">
        <f>IF(OR($E221="Raudt",$E221="Rødt",$E221="Raud",$E221="Rød"),3,IF($E221="Gult",2,IF(OR($E221="Grønt",$E221="Grøn",$E221="Grønn"),1,0)))</f>
        <v/>
      </c>
      <c r="I221">
        <f>IF(AND($C221&lt;&gt;"",$A221='Oversikt'!$C$4,$B221='Oversikt'!$C$5,$C221='Elevkort'!$C$4),MAX(I$1:I220)+1,"")</f>
        <v/>
      </c>
    </row>
    <row r="222" ht="20" customHeight="1">
      <c r="A222" s="18" t="n"/>
      <c r="B222" s="18" t="n"/>
      <c r="C222" s="18" t="n"/>
      <c r="D222" s="18" t="n"/>
      <c r="E222" s="18" t="n"/>
      <c r="F222" s="19" t="n"/>
      <c r="G222" s="18" t="n"/>
      <c r="H222">
        <f>IF(OR($E222="Raudt",$E222="Rødt",$E222="Raud",$E222="Rød"),3,IF($E222="Gult",2,IF(OR($E222="Grønt",$E222="Grøn",$E222="Grønn"),1,0)))</f>
        <v/>
      </c>
      <c r="I222">
        <f>IF(AND($C222&lt;&gt;"",$A222='Oversikt'!$C$4,$B222='Oversikt'!$C$5,$C222='Elevkort'!$C$4),MAX(I$1:I221)+1,"")</f>
        <v/>
      </c>
    </row>
    <row r="223" ht="20" customHeight="1">
      <c r="A223" s="18" t="n"/>
      <c r="B223" s="18" t="n"/>
      <c r="C223" s="18" t="n"/>
      <c r="D223" s="18" t="n"/>
      <c r="E223" s="18" t="n"/>
      <c r="F223" s="19" t="n"/>
      <c r="G223" s="18" t="n"/>
      <c r="H223">
        <f>IF(OR($E223="Raudt",$E223="Rødt",$E223="Raud",$E223="Rød"),3,IF($E223="Gult",2,IF(OR($E223="Grønt",$E223="Grøn",$E223="Grønn"),1,0)))</f>
        <v/>
      </c>
      <c r="I223">
        <f>IF(AND($C223&lt;&gt;"",$A223='Oversikt'!$C$4,$B223='Oversikt'!$C$5,$C223='Elevkort'!$C$4),MAX(I$1:I222)+1,"")</f>
        <v/>
      </c>
    </row>
    <row r="224" ht="20" customHeight="1">
      <c r="A224" s="18" t="n"/>
      <c r="B224" s="18" t="n"/>
      <c r="C224" s="18" t="n"/>
      <c r="D224" s="18" t="n"/>
      <c r="E224" s="18" t="n"/>
      <c r="F224" s="19" t="n"/>
      <c r="G224" s="18" t="n"/>
      <c r="H224">
        <f>IF(OR($E224="Raudt",$E224="Rødt",$E224="Raud",$E224="Rød"),3,IF($E224="Gult",2,IF(OR($E224="Grønt",$E224="Grøn",$E224="Grønn"),1,0)))</f>
        <v/>
      </c>
      <c r="I224">
        <f>IF(AND($C224&lt;&gt;"",$A224='Oversikt'!$C$4,$B224='Oversikt'!$C$5,$C224='Elevkort'!$C$4),MAX(I$1:I223)+1,"")</f>
        <v/>
      </c>
    </row>
    <row r="225" ht="20" customHeight="1">
      <c r="A225" s="18" t="n"/>
      <c r="B225" s="18" t="n"/>
      <c r="C225" s="18" t="n"/>
      <c r="D225" s="18" t="n"/>
      <c r="E225" s="18" t="n"/>
      <c r="F225" s="19" t="n"/>
      <c r="G225" s="18" t="n"/>
      <c r="H225">
        <f>IF(OR($E225="Raudt",$E225="Rødt",$E225="Raud",$E225="Rød"),3,IF($E225="Gult",2,IF(OR($E225="Grønt",$E225="Grøn",$E225="Grønn"),1,0)))</f>
        <v/>
      </c>
      <c r="I225">
        <f>IF(AND($C225&lt;&gt;"",$A225='Oversikt'!$C$4,$B225='Oversikt'!$C$5,$C225='Elevkort'!$C$4),MAX(I$1:I224)+1,"")</f>
        <v/>
      </c>
    </row>
    <row r="226" ht="20" customHeight="1">
      <c r="A226" s="18" t="n"/>
      <c r="B226" s="18" t="n"/>
      <c r="C226" s="18" t="n"/>
      <c r="D226" s="18" t="n"/>
      <c r="E226" s="18" t="n"/>
      <c r="F226" s="19" t="n"/>
      <c r="G226" s="18" t="n"/>
      <c r="H226">
        <f>IF(OR($E226="Raudt",$E226="Rødt",$E226="Raud",$E226="Rød"),3,IF($E226="Gult",2,IF(OR($E226="Grønt",$E226="Grøn",$E226="Grønn"),1,0)))</f>
        <v/>
      </c>
      <c r="I226">
        <f>IF(AND($C226&lt;&gt;"",$A226='Oversikt'!$C$4,$B226='Oversikt'!$C$5,$C226='Elevkort'!$C$4),MAX(I$1:I225)+1,"")</f>
        <v/>
      </c>
    </row>
    <row r="227" ht="20" customHeight="1">
      <c r="A227" s="18" t="n"/>
      <c r="B227" s="18" t="n"/>
      <c r="C227" s="18" t="n"/>
      <c r="D227" s="18" t="n"/>
      <c r="E227" s="18" t="n"/>
      <c r="F227" s="19" t="n"/>
      <c r="G227" s="18" t="n"/>
      <c r="H227">
        <f>IF(OR($E227="Raudt",$E227="Rødt",$E227="Raud",$E227="Rød"),3,IF($E227="Gult",2,IF(OR($E227="Grønt",$E227="Grøn",$E227="Grønn"),1,0)))</f>
        <v/>
      </c>
      <c r="I227">
        <f>IF(AND($C227&lt;&gt;"",$A227='Oversikt'!$C$4,$B227='Oversikt'!$C$5,$C227='Elevkort'!$C$4),MAX(I$1:I226)+1,"")</f>
        <v/>
      </c>
    </row>
    <row r="228" ht="20" customHeight="1">
      <c r="A228" s="18" t="n"/>
      <c r="B228" s="18" t="n"/>
      <c r="C228" s="18" t="n"/>
      <c r="D228" s="18" t="n"/>
      <c r="E228" s="18" t="n"/>
      <c r="F228" s="19" t="n"/>
      <c r="G228" s="18" t="n"/>
      <c r="H228">
        <f>IF(OR($E228="Raudt",$E228="Rødt",$E228="Raud",$E228="Rød"),3,IF($E228="Gult",2,IF(OR($E228="Grønt",$E228="Grøn",$E228="Grønn"),1,0)))</f>
        <v/>
      </c>
      <c r="I228">
        <f>IF(AND($C228&lt;&gt;"",$A228='Oversikt'!$C$4,$B228='Oversikt'!$C$5,$C228='Elevkort'!$C$4),MAX(I$1:I227)+1,"")</f>
        <v/>
      </c>
    </row>
    <row r="229" ht="20" customHeight="1">
      <c r="A229" s="18" t="n"/>
      <c r="B229" s="18" t="n"/>
      <c r="C229" s="18" t="n"/>
      <c r="D229" s="18" t="n"/>
      <c r="E229" s="18" t="n"/>
      <c r="F229" s="19" t="n"/>
      <c r="G229" s="18" t="n"/>
      <c r="H229">
        <f>IF(OR($E229="Raudt",$E229="Rødt",$E229="Raud",$E229="Rød"),3,IF($E229="Gult",2,IF(OR($E229="Grønt",$E229="Grøn",$E229="Grønn"),1,0)))</f>
        <v/>
      </c>
      <c r="I229">
        <f>IF(AND($C229&lt;&gt;"",$A229='Oversikt'!$C$4,$B229='Oversikt'!$C$5,$C229='Elevkort'!$C$4),MAX(I$1:I228)+1,"")</f>
        <v/>
      </c>
    </row>
    <row r="230" ht="20" customHeight="1">
      <c r="A230" s="18" t="n"/>
      <c r="B230" s="18" t="n"/>
      <c r="C230" s="18" t="n"/>
      <c r="D230" s="18" t="n"/>
      <c r="E230" s="18" t="n"/>
      <c r="F230" s="19" t="n"/>
      <c r="G230" s="18" t="n"/>
      <c r="H230">
        <f>IF(OR($E230="Raudt",$E230="Rødt",$E230="Raud",$E230="Rød"),3,IF($E230="Gult",2,IF(OR($E230="Grønt",$E230="Grøn",$E230="Grønn"),1,0)))</f>
        <v/>
      </c>
      <c r="I230">
        <f>IF(AND($C230&lt;&gt;"",$A230='Oversikt'!$C$4,$B230='Oversikt'!$C$5,$C230='Elevkort'!$C$4),MAX(I$1:I229)+1,"")</f>
        <v/>
      </c>
    </row>
    <row r="231" ht="20" customHeight="1">
      <c r="A231" s="18" t="n"/>
      <c r="B231" s="18" t="n"/>
      <c r="C231" s="18" t="n"/>
      <c r="D231" s="18" t="n"/>
      <c r="E231" s="18" t="n"/>
      <c r="F231" s="19" t="n"/>
      <c r="G231" s="18" t="n"/>
      <c r="H231">
        <f>IF(OR($E231="Raudt",$E231="Rødt",$E231="Raud",$E231="Rød"),3,IF($E231="Gult",2,IF(OR($E231="Grønt",$E231="Grøn",$E231="Grønn"),1,0)))</f>
        <v/>
      </c>
      <c r="I231">
        <f>IF(AND($C231&lt;&gt;"",$A231='Oversikt'!$C$4,$B231='Oversikt'!$C$5,$C231='Elevkort'!$C$4),MAX(I$1:I230)+1,"")</f>
        <v/>
      </c>
    </row>
    <row r="232" ht="20" customHeight="1">
      <c r="A232" s="18" t="n"/>
      <c r="B232" s="18" t="n"/>
      <c r="C232" s="18" t="n"/>
      <c r="D232" s="18" t="n"/>
      <c r="E232" s="18" t="n"/>
      <c r="F232" s="19" t="n"/>
      <c r="G232" s="18" t="n"/>
      <c r="H232">
        <f>IF(OR($E232="Raudt",$E232="Rødt",$E232="Raud",$E232="Rød"),3,IF($E232="Gult",2,IF(OR($E232="Grønt",$E232="Grøn",$E232="Grønn"),1,0)))</f>
        <v/>
      </c>
      <c r="I232">
        <f>IF(AND($C232&lt;&gt;"",$A232='Oversikt'!$C$4,$B232='Oversikt'!$C$5,$C232='Elevkort'!$C$4),MAX(I$1:I231)+1,"")</f>
        <v/>
      </c>
    </row>
    <row r="233" ht="20" customHeight="1">
      <c r="A233" s="18" t="n"/>
      <c r="B233" s="18" t="n"/>
      <c r="C233" s="18" t="n"/>
      <c r="D233" s="18" t="n"/>
      <c r="E233" s="18" t="n"/>
      <c r="F233" s="19" t="n"/>
      <c r="G233" s="18" t="n"/>
      <c r="H233">
        <f>IF(OR($E233="Raudt",$E233="Rødt",$E233="Raud",$E233="Rød"),3,IF($E233="Gult",2,IF(OR($E233="Grønt",$E233="Grøn",$E233="Grønn"),1,0)))</f>
        <v/>
      </c>
      <c r="I233">
        <f>IF(AND($C233&lt;&gt;"",$A233='Oversikt'!$C$4,$B233='Oversikt'!$C$5,$C233='Elevkort'!$C$4),MAX(I$1:I232)+1,"")</f>
        <v/>
      </c>
    </row>
    <row r="234" ht="20" customHeight="1">
      <c r="A234" s="18" t="n"/>
      <c r="B234" s="18" t="n"/>
      <c r="C234" s="18" t="n"/>
      <c r="D234" s="18" t="n"/>
      <c r="E234" s="18" t="n"/>
      <c r="F234" s="19" t="n"/>
      <c r="G234" s="18" t="n"/>
      <c r="H234">
        <f>IF(OR($E234="Raudt",$E234="Rødt",$E234="Raud",$E234="Rød"),3,IF($E234="Gult",2,IF(OR($E234="Grønt",$E234="Grøn",$E234="Grønn"),1,0)))</f>
        <v/>
      </c>
      <c r="I234">
        <f>IF(AND($C234&lt;&gt;"",$A234='Oversikt'!$C$4,$B234='Oversikt'!$C$5,$C234='Elevkort'!$C$4),MAX(I$1:I233)+1,"")</f>
        <v/>
      </c>
    </row>
    <row r="235" ht="20" customHeight="1">
      <c r="A235" s="18" t="n"/>
      <c r="B235" s="18" t="n"/>
      <c r="C235" s="18" t="n"/>
      <c r="D235" s="18" t="n"/>
      <c r="E235" s="18" t="n"/>
      <c r="F235" s="19" t="n"/>
      <c r="G235" s="18" t="n"/>
      <c r="H235">
        <f>IF(OR($E235="Raudt",$E235="Rødt",$E235="Raud",$E235="Rød"),3,IF($E235="Gult",2,IF(OR($E235="Grønt",$E235="Grøn",$E235="Grønn"),1,0)))</f>
        <v/>
      </c>
      <c r="I235">
        <f>IF(AND($C235&lt;&gt;"",$A235='Oversikt'!$C$4,$B235='Oversikt'!$C$5,$C235='Elevkort'!$C$4),MAX(I$1:I234)+1,"")</f>
        <v/>
      </c>
    </row>
    <row r="236" ht="20" customHeight="1">
      <c r="A236" s="18" t="n"/>
      <c r="B236" s="18" t="n"/>
      <c r="C236" s="18" t="n"/>
      <c r="D236" s="18" t="n"/>
      <c r="E236" s="18" t="n"/>
      <c r="F236" s="19" t="n"/>
      <c r="G236" s="18" t="n"/>
      <c r="H236">
        <f>IF(OR($E236="Raudt",$E236="Rødt",$E236="Raud",$E236="Rød"),3,IF($E236="Gult",2,IF(OR($E236="Grønt",$E236="Grøn",$E236="Grønn"),1,0)))</f>
        <v/>
      </c>
      <c r="I236">
        <f>IF(AND($C236&lt;&gt;"",$A236='Oversikt'!$C$4,$B236='Oversikt'!$C$5,$C236='Elevkort'!$C$4),MAX(I$1:I235)+1,"")</f>
        <v/>
      </c>
    </row>
    <row r="237" ht="20" customHeight="1">
      <c r="A237" s="18" t="n"/>
      <c r="B237" s="18" t="n"/>
      <c r="C237" s="18" t="n"/>
      <c r="D237" s="18" t="n"/>
      <c r="E237" s="18" t="n"/>
      <c r="F237" s="19" t="n"/>
      <c r="G237" s="18" t="n"/>
      <c r="H237">
        <f>IF(OR($E237="Raudt",$E237="Rødt",$E237="Raud",$E237="Rød"),3,IF($E237="Gult",2,IF(OR($E237="Grønt",$E237="Grøn",$E237="Grønn"),1,0)))</f>
        <v/>
      </c>
      <c r="I237">
        <f>IF(AND($C237&lt;&gt;"",$A237='Oversikt'!$C$4,$B237='Oversikt'!$C$5,$C237='Elevkort'!$C$4),MAX(I$1:I236)+1,"")</f>
        <v/>
      </c>
    </row>
    <row r="238" ht="20" customHeight="1">
      <c r="A238" s="18" t="n"/>
      <c r="B238" s="18" t="n"/>
      <c r="C238" s="18" t="n"/>
      <c r="D238" s="18" t="n"/>
      <c r="E238" s="18" t="n"/>
      <c r="F238" s="19" t="n"/>
      <c r="G238" s="18" t="n"/>
      <c r="H238">
        <f>IF(OR($E238="Raudt",$E238="Rødt",$E238="Raud",$E238="Rød"),3,IF($E238="Gult",2,IF(OR($E238="Grønt",$E238="Grøn",$E238="Grønn"),1,0)))</f>
        <v/>
      </c>
      <c r="I238">
        <f>IF(AND($C238&lt;&gt;"",$A238='Oversikt'!$C$4,$B238='Oversikt'!$C$5,$C238='Elevkort'!$C$4),MAX(I$1:I237)+1,"")</f>
        <v/>
      </c>
    </row>
    <row r="239" ht="20" customHeight="1">
      <c r="A239" s="18" t="n"/>
      <c r="B239" s="18" t="n"/>
      <c r="C239" s="18" t="n"/>
      <c r="D239" s="18" t="n"/>
      <c r="E239" s="18" t="n"/>
      <c r="F239" s="19" t="n"/>
      <c r="G239" s="18" t="n"/>
      <c r="H239">
        <f>IF(OR($E239="Raudt",$E239="Rødt",$E239="Raud",$E239="Rød"),3,IF($E239="Gult",2,IF(OR($E239="Grønt",$E239="Grøn",$E239="Grønn"),1,0)))</f>
        <v/>
      </c>
      <c r="I239">
        <f>IF(AND($C239&lt;&gt;"",$A239='Oversikt'!$C$4,$B239='Oversikt'!$C$5,$C239='Elevkort'!$C$4),MAX(I$1:I238)+1,"")</f>
        <v/>
      </c>
    </row>
    <row r="240" ht="20" customHeight="1">
      <c r="A240" s="18" t="n"/>
      <c r="B240" s="18" t="n"/>
      <c r="C240" s="18" t="n"/>
      <c r="D240" s="18" t="n"/>
      <c r="E240" s="18" t="n"/>
      <c r="F240" s="19" t="n"/>
      <c r="G240" s="18" t="n"/>
      <c r="H240">
        <f>IF(OR($E240="Raudt",$E240="Rødt",$E240="Raud",$E240="Rød"),3,IF($E240="Gult",2,IF(OR($E240="Grønt",$E240="Grøn",$E240="Grønn"),1,0)))</f>
        <v/>
      </c>
      <c r="I240">
        <f>IF(AND($C240&lt;&gt;"",$A240='Oversikt'!$C$4,$B240='Oversikt'!$C$5,$C240='Elevkort'!$C$4),MAX(I$1:I239)+1,"")</f>
        <v/>
      </c>
    </row>
    <row r="241" ht="20" customHeight="1">
      <c r="A241" s="18" t="n"/>
      <c r="B241" s="18" t="n"/>
      <c r="C241" s="18" t="n"/>
      <c r="D241" s="18" t="n"/>
      <c r="E241" s="18" t="n"/>
      <c r="F241" s="19" t="n"/>
      <c r="G241" s="18" t="n"/>
      <c r="H241">
        <f>IF(OR($E241="Raudt",$E241="Rødt",$E241="Raud",$E241="Rød"),3,IF($E241="Gult",2,IF(OR($E241="Grønt",$E241="Grøn",$E241="Grønn"),1,0)))</f>
        <v/>
      </c>
      <c r="I241">
        <f>IF(AND($C241&lt;&gt;"",$A241='Oversikt'!$C$4,$B241='Oversikt'!$C$5,$C241='Elevkort'!$C$4),MAX(I$1:I240)+1,"")</f>
        <v/>
      </c>
    </row>
    <row r="242" ht="20" customHeight="1">
      <c r="A242" s="18" t="n"/>
      <c r="B242" s="18" t="n"/>
      <c r="C242" s="18" t="n"/>
      <c r="D242" s="18" t="n"/>
      <c r="E242" s="18" t="n"/>
      <c r="F242" s="19" t="n"/>
      <c r="G242" s="18" t="n"/>
      <c r="H242">
        <f>IF(OR($E242="Raudt",$E242="Rødt",$E242="Raud",$E242="Rød"),3,IF($E242="Gult",2,IF(OR($E242="Grønt",$E242="Grøn",$E242="Grønn"),1,0)))</f>
        <v/>
      </c>
      <c r="I242">
        <f>IF(AND($C242&lt;&gt;"",$A242='Oversikt'!$C$4,$B242='Oversikt'!$C$5,$C242='Elevkort'!$C$4),MAX(I$1:I241)+1,"")</f>
        <v/>
      </c>
    </row>
    <row r="243" ht="20" customHeight="1">
      <c r="A243" s="18" t="n"/>
      <c r="B243" s="18" t="n"/>
      <c r="C243" s="18" t="n"/>
      <c r="D243" s="18" t="n"/>
      <c r="E243" s="18" t="n"/>
      <c r="F243" s="19" t="n"/>
      <c r="G243" s="18" t="n"/>
      <c r="H243">
        <f>IF(OR($E243="Raudt",$E243="Rødt",$E243="Raud",$E243="Rød"),3,IF($E243="Gult",2,IF(OR($E243="Grønt",$E243="Grøn",$E243="Grønn"),1,0)))</f>
        <v/>
      </c>
      <c r="I243">
        <f>IF(AND($C243&lt;&gt;"",$A243='Oversikt'!$C$4,$B243='Oversikt'!$C$5,$C243='Elevkort'!$C$4),MAX(I$1:I242)+1,"")</f>
        <v/>
      </c>
    </row>
    <row r="244" ht="20" customHeight="1">
      <c r="A244" s="18" t="n"/>
      <c r="B244" s="18" t="n"/>
      <c r="C244" s="18" t="n"/>
      <c r="D244" s="18" t="n"/>
      <c r="E244" s="18" t="n"/>
      <c r="F244" s="19" t="n"/>
      <c r="G244" s="18" t="n"/>
      <c r="H244">
        <f>IF(OR($E244="Raudt",$E244="Rødt",$E244="Raud",$E244="Rød"),3,IF($E244="Gult",2,IF(OR($E244="Grønt",$E244="Grøn",$E244="Grønn"),1,0)))</f>
        <v/>
      </c>
      <c r="I244">
        <f>IF(AND($C244&lt;&gt;"",$A244='Oversikt'!$C$4,$B244='Oversikt'!$C$5,$C244='Elevkort'!$C$4),MAX(I$1:I243)+1,"")</f>
        <v/>
      </c>
    </row>
    <row r="245" ht="20" customHeight="1">
      <c r="A245" s="18" t="n"/>
      <c r="B245" s="18" t="n"/>
      <c r="C245" s="18" t="n"/>
      <c r="D245" s="18" t="n"/>
      <c r="E245" s="18" t="n"/>
      <c r="F245" s="19" t="n"/>
      <c r="G245" s="18" t="n"/>
      <c r="H245">
        <f>IF(OR($E245="Raudt",$E245="Rødt",$E245="Raud",$E245="Rød"),3,IF($E245="Gult",2,IF(OR($E245="Grønt",$E245="Grøn",$E245="Grønn"),1,0)))</f>
        <v/>
      </c>
      <c r="I245">
        <f>IF(AND($C245&lt;&gt;"",$A245='Oversikt'!$C$4,$B245='Oversikt'!$C$5,$C245='Elevkort'!$C$4),MAX(I$1:I244)+1,"")</f>
        <v/>
      </c>
    </row>
    <row r="246" ht="20" customHeight="1">
      <c r="A246" s="18" t="n"/>
      <c r="B246" s="18" t="n"/>
      <c r="C246" s="18" t="n"/>
      <c r="D246" s="18" t="n"/>
      <c r="E246" s="18" t="n"/>
      <c r="F246" s="19" t="n"/>
      <c r="G246" s="18" t="n"/>
      <c r="H246">
        <f>IF(OR($E246="Raudt",$E246="Rødt",$E246="Raud",$E246="Rød"),3,IF($E246="Gult",2,IF(OR($E246="Grønt",$E246="Grøn",$E246="Grønn"),1,0)))</f>
        <v/>
      </c>
      <c r="I246">
        <f>IF(AND($C246&lt;&gt;"",$A246='Oversikt'!$C$4,$B246='Oversikt'!$C$5,$C246='Elevkort'!$C$4),MAX(I$1:I245)+1,"")</f>
        <v/>
      </c>
    </row>
    <row r="247" ht="20" customHeight="1">
      <c r="A247" s="18" t="n"/>
      <c r="B247" s="18" t="n"/>
      <c r="C247" s="18" t="n"/>
      <c r="D247" s="18" t="n"/>
      <c r="E247" s="18" t="n"/>
      <c r="F247" s="19" t="n"/>
      <c r="G247" s="18" t="n"/>
      <c r="H247">
        <f>IF(OR($E247="Raudt",$E247="Rødt",$E247="Raud",$E247="Rød"),3,IF($E247="Gult",2,IF(OR($E247="Grønt",$E247="Grøn",$E247="Grønn"),1,0)))</f>
        <v/>
      </c>
      <c r="I247">
        <f>IF(AND($C247&lt;&gt;"",$A247='Oversikt'!$C$4,$B247='Oversikt'!$C$5,$C247='Elevkort'!$C$4),MAX(I$1:I246)+1,"")</f>
        <v/>
      </c>
    </row>
    <row r="248" ht="20" customHeight="1">
      <c r="A248" s="18" t="n"/>
      <c r="B248" s="18" t="n"/>
      <c r="C248" s="18" t="n"/>
      <c r="D248" s="18" t="n"/>
      <c r="E248" s="18" t="n"/>
      <c r="F248" s="19" t="n"/>
      <c r="G248" s="18" t="n"/>
      <c r="H248">
        <f>IF(OR($E248="Raudt",$E248="Rødt",$E248="Raud",$E248="Rød"),3,IF($E248="Gult",2,IF(OR($E248="Grønt",$E248="Grøn",$E248="Grønn"),1,0)))</f>
        <v/>
      </c>
      <c r="I248">
        <f>IF(AND($C248&lt;&gt;"",$A248='Oversikt'!$C$4,$B248='Oversikt'!$C$5,$C248='Elevkort'!$C$4),MAX(I$1:I247)+1,"")</f>
        <v/>
      </c>
    </row>
    <row r="249" ht="20" customHeight="1">
      <c r="A249" s="18" t="n"/>
      <c r="B249" s="18" t="n"/>
      <c r="C249" s="18" t="n"/>
      <c r="D249" s="18" t="n"/>
      <c r="E249" s="18" t="n"/>
      <c r="F249" s="19" t="n"/>
      <c r="G249" s="18" t="n"/>
      <c r="H249">
        <f>IF(OR($E249="Raudt",$E249="Rødt",$E249="Raud",$E249="Rød"),3,IF($E249="Gult",2,IF(OR($E249="Grønt",$E249="Grøn",$E249="Grønn"),1,0)))</f>
        <v/>
      </c>
      <c r="I249">
        <f>IF(AND($C249&lt;&gt;"",$A249='Oversikt'!$C$4,$B249='Oversikt'!$C$5,$C249='Elevkort'!$C$4),MAX(I$1:I248)+1,"")</f>
        <v/>
      </c>
    </row>
    <row r="250" ht="20" customHeight="1">
      <c r="A250" s="18" t="n"/>
      <c r="B250" s="18" t="n"/>
      <c r="C250" s="18" t="n"/>
      <c r="D250" s="18" t="n"/>
      <c r="E250" s="18" t="n"/>
      <c r="F250" s="19" t="n"/>
      <c r="G250" s="18" t="n"/>
      <c r="H250">
        <f>IF(OR($E250="Raudt",$E250="Rødt",$E250="Raud",$E250="Rød"),3,IF($E250="Gult",2,IF(OR($E250="Grønt",$E250="Grøn",$E250="Grønn"),1,0)))</f>
        <v/>
      </c>
      <c r="I250">
        <f>IF(AND($C250&lt;&gt;"",$A250='Oversikt'!$C$4,$B250='Oversikt'!$C$5,$C250='Elevkort'!$C$4),MAX(I$1:I249)+1,"")</f>
        <v/>
      </c>
    </row>
    <row r="251" ht="20" customHeight="1">
      <c r="A251" s="18" t="n"/>
      <c r="B251" s="18" t="n"/>
      <c r="C251" s="18" t="n"/>
      <c r="D251" s="18" t="n"/>
      <c r="E251" s="18" t="n"/>
      <c r="F251" s="19" t="n"/>
      <c r="G251" s="18" t="n"/>
      <c r="H251">
        <f>IF(OR($E251="Raudt",$E251="Rødt",$E251="Raud",$E251="Rød"),3,IF($E251="Gult",2,IF(OR($E251="Grønt",$E251="Grøn",$E251="Grønn"),1,0)))</f>
        <v/>
      </c>
      <c r="I251">
        <f>IF(AND($C251&lt;&gt;"",$A251='Oversikt'!$C$4,$B251='Oversikt'!$C$5,$C251='Elevkort'!$C$4),MAX(I$1:I250)+1,"")</f>
        <v/>
      </c>
    </row>
    <row r="252" ht="20" customHeight="1">
      <c r="A252" s="18" t="n"/>
      <c r="B252" s="18" t="n"/>
      <c r="C252" s="18" t="n"/>
      <c r="D252" s="18" t="n"/>
      <c r="E252" s="18" t="n"/>
      <c r="F252" s="19" t="n"/>
      <c r="G252" s="18" t="n"/>
      <c r="H252">
        <f>IF(OR($E252="Raudt",$E252="Rødt",$E252="Raud",$E252="Rød"),3,IF($E252="Gult",2,IF(OR($E252="Grønt",$E252="Grøn",$E252="Grønn"),1,0)))</f>
        <v/>
      </c>
      <c r="I252">
        <f>IF(AND($C252&lt;&gt;"",$A252='Oversikt'!$C$4,$B252='Oversikt'!$C$5,$C252='Elevkort'!$C$4),MAX(I$1:I251)+1,"")</f>
        <v/>
      </c>
    </row>
    <row r="253" ht="20" customHeight="1">
      <c r="A253" s="18" t="n"/>
      <c r="B253" s="18" t="n"/>
      <c r="C253" s="18" t="n"/>
      <c r="D253" s="18" t="n"/>
      <c r="E253" s="18" t="n"/>
      <c r="F253" s="19" t="n"/>
      <c r="G253" s="18" t="n"/>
      <c r="H253">
        <f>IF(OR($E253="Raudt",$E253="Rødt",$E253="Raud",$E253="Rød"),3,IF($E253="Gult",2,IF(OR($E253="Grønt",$E253="Grøn",$E253="Grønn"),1,0)))</f>
        <v/>
      </c>
      <c r="I253">
        <f>IF(AND($C253&lt;&gt;"",$A253='Oversikt'!$C$4,$B253='Oversikt'!$C$5,$C253='Elevkort'!$C$4),MAX(I$1:I252)+1,"")</f>
        <v/>
      </c>
    </row>
    <row r="254" ht="20" customHeight="1">
      <c r="A254" s="18" t="n"/>
      <c r="B254" s="18" t="n"/>
      <c r="C254" s="18" t="n"/>
      <c r="D254" s="18" t="n"/>
      <c r="E254" s="18" t="n"/>
      <c r="F254" s="19" t="n"/>
      <c r="G254" s="18" t="n"/>
      <c r="H254">
        <f>IF(OR($E254="Raudt",$E254="Rødt",$E254="Raud",$E254="Rød"),3,IF($E254="Gult",2,IF(OR($E254="Grønt",$E254="Grøn",$E254="Grønn"),1,0)))</f>
        <v/>
      </c>
      <c r="I254">
        <f>IF(AND($C254&lt;&gt;"",$A254='Oversikt'!$C$4,$B254='Oversikt'!$C$5,$C254='Elevkort'!$C$4),MAX(I$1:I253)+1,"")</f>
        <v/>
      </c>
    </row>
    <row r="255" ht="20" customHeight="1">
      <c r="A255" s="18" t="n"/>
      <c r="B255" s="18" t="n"/>
      <c r="C255" s="18" t="n"/>
      <c r="D255" s="18" t="n"/>
      <c r="E255" s="18" t="n"/>
      <c r="F255" s="19" t="n"/>
      <c r="G255" s="18" t="n"/>
      <c r="H255">
        <f>IF(OR($E255="Raudt",$E255="Rødt",$E255="Raud",$E255="Rød"),3,IF($E255="Gult",2,IF(OR($E255="Grønt",$E255="Grøn",$E255="Grønn"),1,0)))</f>
        <v/>
      </c>
      <c r="I255">
        <f>IF(AND($C255&lt;&gt;"",$A255='Oversikt'!$C$4,$B255='Oversikt'!$C$5,$C255='Elevkort'!$C$4),MAX(I$1:I254)+1,"")</f>
        <v/>
      </c>
    </row>
    <row r="256" ht="20" customHeight="1">
      <c r="A256" s="18" t="n"/>
      <c r="B256" s="18" t="n"/>
      <c r="C256" s="18" t="n"/>
      <c r="D256" s="18" t="n"/>
      <c r="E256" s="18" t="n"/>
      <c r="F256" s="19" t="n"/>
      <c r="G256" s="18" t="n"/>
      <c r="H256">
        <f>IF(OR($E256="Raudt",$E256="Rødt",$E256="Raud",$E256="Rød"),3,IF($E256="Gult",2,IF(OR($E256="Grønt",$E256="Grøn",$E256="Grønn"),1,0)))</f>
        <v/>
      </c>
      <c r="I256">
        <f>IF(AND($C256&lt;&gt;"",$A256='Oversikt'!$C$4,$B256='Oversikt'!$C$5,$C256='Elevkort'!$C$4),MAX(I$1:I255)+1,"")</f>
        <v/>
      </c>
    </row>
    <row r="257" ht="20" customHeight="1">
      <c r="A257" s="18" t="n"/>
      <c r="B257" s="18" t="n"/>
      <c r="C257" s="18" t="n"/>
      <c r="D257" s="18" t="n"/>
      <c r="E257" s="18" t="n"/>
      <c r="F257" s="19" t="n"/>
      <c r="G257" s="18" t="n"/>
      <c r="H257">
        <f>IF(OR($E257="Raudt",$E257="Rødt",$E257="Raud",$E257="Rød"),3,IF($E257="Gult",2,IF(OR($E257="Grønt",$E257="Grøn",$E257="Grønn"),1,0)))</f>
        <v/>
      </c>
      <c r="I257">
        <f>IF(AND($C257&lt;&gt;"",$A257='Oversikt'!$C$4,$B257='Oversikt'!$C$5,$C257='Elevkort'!$C$4),MAX(I$1:I256)+1,"")</f>
        <v/>
      </c>
    </row>
    <row r="258" ht="20" customHeight="1">
      <c r="A258" s="18" t="n"/>
      <c r="B258" s="18" t="n"/>
      <c r="C258" s="18" t="n"/>
      <c r="D258" s="18" t="n"/>
      <c r="E258" s="18" t="n"/>
      <c r="F258" s="19" t="n"/>
      <c r="G258" s="18" t="n"/>
      <c r="H258">
        <f>IF(OR($E258="Raudt",$E258="Rødt",$E258="Raud",$E258="Rød"),3,IF($E258="Gult",2,IF(OR($E258="Grønt",$E258="Grøn",$E258="Grønn"),1,0)))</f>
        <v/>
      </c>
      <c r="I258">
        <f>IF(AND($C258&lt;&gt;"",$A258='Oversikt'!$C$4,$B258='Oversikt'!$C$5,$C258='Elevkort'!$C$4),MAX(I$1:I257)+1,"")</f>
        <v/>
      </c>
    </row>
    <row r="259" ht="20" customHeight="1">
      <c r="A259" s="18" t="n"/>
      <c r="B259" s="18" t="n"/>
      <c r="C259" s="18" t="n"/>
      <c r="D259" s="18" t="n"/>
      <c r="E259" s="18" t="n"/>
      <c r="F259" s="19" t="n"/>
      <c r="G259" s="18" t="n"/>
      <c r="H259">
        <f>IF(OR($E259="Raudt",$E259="Rødt",$E259="Raud",$E259="Rød"),3,IF($E259="Gult",2,IF(OR($E259="Grønt",$E259="Grøn",$E259="Grønn"),1,0)))</f>
        <v/>
      </c>
      <c r="I259">
        <f>IF(AND($C259&lt;&gt;"",$A259='Oversikt'!$C$4,$B259='Oversikt'!$C$5,$C259='Elevkort'!$C$4),MAX(I$1:I258)+1,"")</f>
        <v/>
      </c>
    </row>
    <row r="260" ht="20" customHeight="1">
      <c r="A260" s="18" t="n"/>
      <c r="B260" s="18" t="n"/>
      <c r="C260" s="18" t="n"/>
      <c r="D260" s="18" t="n"/>
      <c r="E260" s="18" t="n"/>
      <c r="F260" s="19" t="n"/>
      <c r="G260" s="18" t="n"/>
      <c r="H260">
        <f>IF(OR($E260="Raudt",$E260="Rødt",$E260="Raud",$E260="Rød"),3,IF($E260="Gult",2,IF(OR($E260="Grønt",$E260="Grøn",$E260="Grønn"),1,0)))</f>
        <v/>
      </c>
      <c r="I260">
        <f>IF(AND($C260&lt;&gt;"",$A260='Oversikt'!$C$4,$B260='Oversikt'!$C$5,$C260='Elevkort'!$C$4),MAX(I$1:I259)+1,"")</f>
        <v/>
      </c>
    </row>
    <row r="261" ht="20" customHeight="1">
      <c r="A261" s="18" t="n"/>
      <c r="B261" s="18" t="n"/>
      <c r="C261" s="18" t="n"/>
      <c r="D261" s="18" t="n"/>
      <c r="E261" s="18" t="n"/>
      <c r="F261" s="19" t="n"/>
      <c r="G261" s="18" t="n"/>
      <c r="H261">
        <f>IF(OR($E261="Raudt",$E261="Rødt",$E261="Raud",$E261="Rød"),3,IF($E261="Gult",2,IF(OR($E261="Grønt",$E261="Grøn",$E261="Grønn"),1,0)))</f>
        <v/>
      </c>
      <c r="I261">
        <f>IF(AND($C261&lt;&gt;"",$A261='Oversikt'!$C$4,$B261='Oversikt'!$C$5,$C261='Elevkort'!$C$4),MAX(I$1:I260)+1,"")</f>
        <v/>
      </c>
    </row>
    <row r="262" ht="20" customHeight="1">
      <c r="A262" s="18" t="n"/>
      <c r="B262" s="18" t="n"/>
      <c r="C262" s="18" t="n"/>
      <c r="D262" s="18" t="n"/>
      <c r="E262" s="18" t="n"/>
      <c r="F262" s="19" t="n"/>
      <c r="G262" s="18" t="n"/>
      <c r="H262">
        <f>IF(OR($E262="Raudt",$E262="Rødt",$E262="Raud",$E262="Rød"),3,IF($E262="Gult",2,IF(OR($E262="Grønt",$E262="Grøn",$E262="Grønn"),1,0)))</f>
        <v/>
      </c>
      <c r="I262">
        <f>IF(AND($C262&lt;&gt;"",$A262='Oversikt'!$C$4,$B262='Oversikt'!$C$5,$C262='Elevkort'!$C$4),MAX(I$1:I261)+1,"")</f>
        <v/>
      </c>
    </row>
    <row r="263" ht="20" customHeight="1">
      <c r="A263" s="18" t="n"/>
      <c r="B263" s="18" t="n"/>
      <c r="C263" s="18" t="n"/>
      <c r="D263" s="18" t="n"/>
      <c r="E263" s="18" t="n"/>
      <c r="F263" s="19" t="n"/>
      <c r="G263" s="18" t="n"/>
      <c r="H263">
        <f>IF(OR($E263="Raudt",$E263="Rødt",$E263="Raud",$E263="Rød"),3,IF($E263="Gult",2,IF(OR($E263="Grønt",$E263="Grøn",$E263="Grønn"),1,0)))</f>
        <v/>
      </c>
      <c r="I263">
        <f>IF(AND($C263&lt;&gt;"",$A263='Oversikt'!$C$4,$B263='Oversikt'!$C$5,$C263='Elevkort'!$C$4),MAX(I$1:I262)+1,"")</f>
        <v/>
      </c>
    </row>
    <row r="264" ht="20" customHeight="1">
      <c r="A264" s="18" t="n"/>
      <c r="B264" s="18" t="n"/>
      <c r="C264" s="18" t="n"/>
      <c r="D264" s="18" t="n"/>
      <c r="E264" s="18" t="n"/>
      <c r="F264" s="19" t="n"/>
      <c r="G264" s="18" t="n"/>
      <c r="H264">
        <f>IF(OR($E264="Raudt",$E264="Rødt",$E264="Raud",$E264="Rød"),3,IF($E264="Gult",2,IF(OR($E264="Grønt",$E264="Grøn",$E264="Grønn"),1,0)))</f>
        <v/>
      </c>
      <c r="I264">
        <f>IF(AND($C264&lt;&gt;"",$A264='Oversikt'!$C$4,$B264='Oversikt'!$C$5,$C264='Elevkort'!$C$4),MAX(I$1:I263)+1,"")</f>
        <v/>
      </c>
    </row>
    <row r="265" ht="20" customHeight="1">
      <c r="A265" s="18" t="n"/>
      <c r="B265" s="18" t="n"/>
      <c r="C265" s="18" t="n"/>
      <c r="D265" s="18" t="n"/>
      <c r="E265" s="18" t="n"/>
      <c r="F265" s="19" t="n"/>
      <c r="G265" s="18" t="n"/>
      <c r="H265">
        <f>IF(OR($E265="Raudt",$E265="Rødt",$E265="Raud",$E265="Rød"),3,IF($E265="Gult",2,IF(OR($E265="Grønt",$E265="Grøn",$E265="Grønn"),1,0)))</f>
        <v/>
      </c>
      <c r="I265">
        <f>IF(AND($C265&lt;&gt;"",$A265='Oversikt'!$C$4,$B265='Oversikt'!$C$5,$C265='Elevkort'!$C$4),MAX(I$1:I264)+1,"")</f>
        <v/>
      </c>
    </row>
    <row r="266" ht="20" customHeight="1">
      <c r="A266" s="18" t="n"/>
      <c r="B266" s="18" t="n"/>
      <c r="C266" s="18" t="n"/>
      <c r="D266" s="18" t="n"/>
      <c r="E266" s="18" t="n"/>
      <c r="F266" s="19" t="n"/>
      <c r="G266" s="18" t="n"/>
      <c r="H266">
        <f>IF(OR($E266="Raudt",$E266="Rødt",$E266="Raud",$E266="Rød"),3,IF($E266="Gult",2,IF(OR($E266="Grønt",$E266="Grøn",$E266="Grønn"),1,0)))</f>
        <v/>
      </c>
      <c r="I266">
        <f>IF(AND($C266&lt;&gt;"",$A266='Oversikt'!$C$4,$B266='Oversikt'!$C$5,$C266='Elevkort'!$C$4),MAX(I$1:I265)+1,"")</f>
        <v/>
      </c>
    </row>
    <row r="267" ht="20" customHeight="1">
      <c r="A267" s="18" t="n"/>
      <c r="B267" s="18" t="n"/>
      <c r="C267" s="18" t="n"/>
      <c r="D267" s="18" t="n"/>
      <c r="E267" s="18" t="n"/>
      <c r="F267" s="19" t="n"/>
      <c r="G267" s="18" t="n"/>
      <c r="H267">
        <f>IF(OR($E267="Raudt",$E267="Rødt",$E267="Raud",$E267="Rød"),3,IF($E267="Gult",2,IF(OR($E267="Grønt",$E267="Grøn",$E267="Grønn"),1,0)))</f>
        <v/>
      </c>
      <c r="I267">
        <f>IF(AND($C267&lt;&gt;"",$A267='Oversikt'!$C$4,$B267='Oversikt'!$C$5,$C267='Elevkort'!$C$4),MAX(I$1:I266)+1,"")</f>
        <v/>
      </c>
    </row>
    <row r="268" ht="20" customHeight="1">
      <c r="A268" s="18" t="n"/>
      <c r="B268" s="18" t="n"/>
      <c r="C268" s="18" t="n"/>
      <c r="D268" s="18" t="n"/>
      <c r="E268" s="18" t="n"/>
      <c r="F268" s="19" t="n"/>
      <c r="G268" s="18" t="n"/>
      <c r="H268">
        <f>IF(OR($E268="Raudt",$E268="Rødt",$E268="Raud",$E268="Rød"),3,IF($E268="Gult",2,IF(OR($E268="Grønt",$E268="Grøn",$E268="Grønn"),1,0)))</f>
        <v/>
      </c>
      <c r="I268">
        <f>IF(AND($C268&lt;&gt;"",$A268='Oversikt'!$C$4,$B268='Oversikt'!$C$5,$C268='Elevkort'!$C$4),MAX(I$1:I267)+1,"")</f>
        <v/>
      </c>
    </row>
    <row r="269" ht="20" customHeight="1">
      <c r="A269" s="18" t="n"/>
      <c r="B269" s="18" t="n"/>
      <c r="C269" s="18" t="n"/>
      <c r="D269" s="18" t="n"/>
      <c r="E269" s="18" t="n"/>
      <c r="F269" s="19" t="n"/>
      <c r="G269" s="18" t="n"/>
      <c r="H269">
        <f>IF(OR($E269="Raudt",$E269="Rødt",$E269="Raud",$E269="Rød"),3,IF($E269="Gult",2,IF(OR($E269="Grønt",$E269="Grøn",$E269="Grønn"),1,0)))</f>
        <v/>
      </c>
      <c r="I269">
        <f>IF(AND($C269&lt;&gt;"",$A269='Oversikt'!$C$4,$B269='Oversikt'!$C$5,$C269='Elevkort'!$C$4),MAX(I$1:I268)+1,"")</f>
        <v/>
      </c>
    </row>
    <row r="270" ht="20" customHeight="1">
      <c r="A270" s="18" t="n"/>
      <c r="B270" s="18" t="n"/>
      <c r="C270" s="18" t="n"/>
      <c r="D270" s="18" t="n"/>
      <c r="E270" s="18" t="n"/>
      <c r="F270" s="19" t="n"/>
      <c r="G270" s="18" t="n"/>
      <c r="H270">
        <f>IF(OR($E270="Raudt",$E270="Rødt",$E270="Raud",$E270="Rød"),3,IF($E270="Gult",2,IF(OR($E270="Grønt",$E270="Grøn",$E270="Grønn"),1,0)))</f>
        <v/>
      </c>
      <c r="I270">
        <f>IF(AND($C270&lt;&gt;"",$A270='Oversikt'!$C$4,$B270='Oversikt'!$C$5,$C270='Elevkort'!$C$4),MAX(I$1:I269)+1,"")</f>
        <v/>
      </c>
    </row>
    <row r="271" ht="20" customHeight="1">
      <c r="A271" s="18" t="n"/>
      <c r="B271" s="18" t="n"/>
      <c r="C271" s="18" t="n"/>
      <c r="D271" s="18" t="n"/>
      <c r="E271" s="18" t="n"/>
      <c r="F271" s="19" t="n"/>
      <c r="G271" s="18" t="n"/>
      <c r="H271">
        <f>IF(OR($E271="Raudt",$E271="Rødt",$E271="Raud",$E271="Rød"),3,IF($E271="Gult",2,IF(OR($E271="Grønt",$E271="Grøn",$E271="Grønn"),1,0)))</f>
        <v/>
      </c>
      <c r="I271">
        <f>IF(AND($C271&lt;&gt;"",$A271='Oversikt'!$C$4,$B271='Oversikt'!$C$5,$C271='Elevkort'!$C$4),MAX(I$1:I270)+1,"")</f>
        <v/>
      </c>
    </row>
    <row r="272" ht="20" customHeight="1">
      <c r="A272" s="18" t="n"/>
      <c r="B272" s="18" t="n"/>
      <c r="C272" s="18" t="n"/>
      <c r="D272" s="18" t="n"/>
      <c r="E272" s="18" t="n"/>
      <c r="F272" s="19" t="n"/>
      <c r="G272" s="18" t="n"/>
      <c r="H272">
        <f>IF(OR($E272="Raudt",$E272="Rødt",$E272="Raud",$E272="Rød"),3,IF($E272="Gult",2,IF(OR($E272="Grønt",$E272="Grøn",$E272="Grønn"),1,0)))</f>
        <v/>
      </c>
      <c r="I272">
        <f>IF(AND($C272&lt;&gt;"",$A272='Oversikt'!$C$4,$B272='Oversikt'!$C$5,$C272='Elevkort'!$C$4),MAX(I$1:I271)+1,"")</f>
        <v/>
      </c>
    </row>
    <row r="273" ht="20" customHeight="1">
      <c r="A273" s="18" t="n"/>
      <c r="B273" s="18" t="n"/>
      <c r="C273" s="18" t="n"/>
      <c r="D273" s="18" t="n"/>
      <c r="E273" s="18" t="n"/>
      <c r="F273" s="19" t="n"/>
      <c r="G273" s="18" t="n"/>
      <c r="H273">
        <f>IF(OR($E273="Raudt",$E273="Rødt",$E273="Raud",$E273="Rød"),3,IF($E273="Gult",2,IF(OR($E273="Grønt",$E273="Grøn",$E273="Grønn"),1,0)))</f>
        <v/>
      </c>
      <c r="I273">
        <f>IF(AND($C273&lt;&gt;"",$A273='Oversikt'!$C$4,$B273='Oversikt'!$C$5,$C273='Elevkort'!$C$4),MAX(I$1:I272)+1,"")</f>
        <v/>
      </c>
    </row>
    <row r="274" ht="20" customHeight="1">
      <c r="A274" s="18" t="n"/>
      <c r="B274" s="18" t="n"/>
      <c r="C274" s="18" t="n"/>
      <c r="D274" s="18" t="n"/>
      <c r="E274" s="18" t="n"/>
      <c r="F274" s="19" t="n"/>
      <c r="G274" s="18" t="n"/>
      <c r="H274">
        <f>IF(OR($E274="Raudt",$E274="Rødt",$E274="Raud",$E274="Rød"),3,IF($E274="Gult",2,IF(OR($E274="Grønt",$E274="Grøn",$E274="Grønn"),1,0)))</f>
        <v/>
      </c>
      <c r="I274">
        <f>IF(AND($C274&lt;&gt;"",$A274='Oversikt'!$C$4,$B274='Oversikt'!$C$5,$C274='Elevkort'!$C$4),MAX(I$1:I273)+1,"")</f>
        <v/>
      </c>
    </row>
    <row r="275" ht="20" customHeight="1">
      <c r="A275" s="18" t="n"/>
      <c r="B275" s="18" t="n"/>
      <c r="C275" s="18" t="n"/>
      <c r="D275" s="18" t="n"/>
      <c r="E275" s="18" t="n"/>
      <c r="F275" s="19" t="n"/>
      <c r="G275" s="18" t="n"/>
      <c r="H275">
        <f>IF(OR($E275="Raudt",$E275="Rødt",$E275="Raud",$E275="Rød"),3,IF($E275="Gult",2,IF(OR($E275="Grønt",$E275="Grøn",$E275="Grønn"),1,0)))</f>
        <v/>
      </c>
      <c r="I275">
        <f>IF(AND($C275&lt;&gt;"",$A275='Oversikt'!$C$4,$B275='Oversikt'!$C$5,$C275='Elevkort'!$C$4),MAX(I$1:I274)+1,"")</f>
        <v/>
      </c>
    </row>
    <row r="276" ht="20" customHeight="1">
      <c r="A276" s="18" t="n"/>
      <c r="B276" s="18" t="n"/>
      <c r="C276" s="18" t="n"/>
      <c r="D276" s="18" t="n"/>
      <c r="E276" s="18" t="n"/>
      <c r="F276" s="19" t="n"/>
      <c r="G276" s="18" t="n"/>
      <c r="H276">
        <f>IF(OR($E276="Raudt",$E276="Rødt",$E276="Raud",$E276="Rød"),3,IF($E276="Gult",2,IF(OR($E276="Grønt",$E276="Grøn",$E276="Grønn"),1,0)))</f>
        <v/>
      </c>
      <c r="I276">
        <f>IF(AND($C276&lt;&gt;"",$A276='Oversikt'!$C$4,$B276='Oversikt'!$C$5,$C276='Elevkort'!$C$4),MAX(I$1:I275)+1,"")</f>
        <v/>
      </c>
    </row>
    <row r="277" ht="20" customHeight="1">
      <c r="A277" s="18" t="n"/>
      <c r="B277" s="18" t="n"/>
      <c r="C277" s="18" t="n"/>
      <c r="D277" s="18" t="n"/>
      <c r="E277" s="18" t="n"/>
      <c r="F277" s="19" t="n"/>
      <c r="G277" s="18" t="n"/>
      <c r="H277">
        <f>IF(OR($E277="Raudt",$E277="Rødt",$E277="Raud",$E277="Rød"),3,IF($E277="Gult",2,IF(OR($E277="Grønt",$E277="Grøn",$E277="Grønn"),1,0)))</f>
        <v/>
      </c>
      <c r="I277">
        <f>IF(AND($C277&lt;&gt;"",$A277='Oversikt'!$C$4,$B277='Oversikt'!$C$5,$C277='Elevkort'!$C$4),MAX(I$1:I276)+1,"")</f>
        <v/>
      </c>
    </row>
    <row r="278" ht="20" customHeight="1">
      <c r="A278" s="18" t="n"/>
      <c r="B278" s="18" t="n"/>
      <c r="C278" s="18" t="n"/>
      <c r="D278" s="18" t="n"/>
      <c r="E278" s="18" t="n"/>
      <c r="F278" s="19" t="n"/>
      <c r="G278" s="18" t="n"/>
      <c r="H278">
        <f>IF(OR($E278="Raudt",$E278="Rødt",$E278="Raud",$E278="Rød"),3,IF($E278="Gult",2,IF(OR($E278="Grønt",$E278="Grøn",$E278="Grønn"),1,0)))</f>
        <v/>
      </c>
      <c r="I278">
        <f>IF(AND($C278&lt;&gt;"",$A278='Oversikt'!$C$4,$B278='Oversikt'!$C$5,$C278='Elevkort'!$C$4),MAX(I$1:I277)+1,"")</f>
        <v/>
      </c>
    </row>
    <row r="279" ht="20" customHeight="1">
      <c r="A279" s="18" t="n"/>
      <c r="B279" s="18" t="n"/>
      <c r="C279" s="18" t="n"/>
      <c r="D279" s="18" t="n"/>
      <c r="E279" s="18" t="n"/>
      <c r="F279" s="19" t="n"/>
      <c r="G279" s="18" t="n"/>
      <c r="H279">
        <f>IF(OR($E279="Raudt",$E279="Rødt",$E279="Raud",$E279="Rød"),3,IF($E279="Gult",2,IF(OR($E279="Grønt",$E279="Grøn",$E279="Grønn"),1,0)))</f>
        <v/>
      </c>
      <c r="I279">
        <f>IF(AND($C279&lt;&gt;"",$A279='Oversikt'!$C$4,$B279='Oversikt'!$C$5,$C279='Elevkort'!$C$4),MAX(I$1:I278)+1,"")</f>
        <v/>
      </c>
    </row>
    <row r="280" ht="20" customHeight="1">
      <c r="A280" s="18" t="n"/>
      <c r="B280" s="18" t="n"/>
      <c r="C280" s="18" t="n"/>
      <c r="D280" s="18" t="n"/>
      <c r="E280" s="18" t="n"/>
      <c r="F280" s="19" t="n"/>
      <c r="G280" s="18" t="n"/>
      <c r="H280">
        <f>IF(OR($E280="Raudt",$E280="Rødt",$E280="Raud",$E280="Rød"),3,IF($E280="Gult",2,IF(OR($E280="Grønt",$E280="Grøn",$E280="Grønn"),1,0)))</f>
        <v/>
      </c>
      <c r="I280">
        <f>IF(AND($C280&lt;&gt;"",$A280='Oversikt'!$C$4,$B280='Oversikt'!$C$5,$C280='Elevkort'!$C$4),MAX(I$1:I279)+1,"")</f>
        <v/>
      </c>
    </row>
    <row r="281" ht="20" customHeight="1">
      <c r="A281" s="18" t="n"/>
      <c r="B281" s="18" t="n"/>
      <c r="C281" s="18" t="n"/>
      <c r="D281" s="18" t="n"/>
      <c r="E281" s="18" t="n"/>
      <c r="F281" s="19" t="n"/>
      <c r="G281" s="18" t="n"/>
      <c r="H281">
        <f>IF(OR($E281="Raudt",$E281="Rødt",$E281="Raud",$E281="Rød"),3,IF($E281="Gult",2,IF(OR($E281="Grønt",$E281="Grøn",$E281="Grønn"),1,0)))</f>
        <v/>
      </c>
      <c r="I281">
        <f>IF(AND($C281&lt;&gt;"",$A281='Oversikt'!$C$4,$B281='Oversikt'!$C$5,$C281='Elevkort'!$C$4),MAX(I$1:I280)+1,"")</f>
        <v/>
      </c>
    </row>
    <row r="282" ht="20" customHeight="1">
      <c r="A282" s="18" t="n"/>
      <c r="B282" s="18" t="n"/>
      <c r="C282" s="18" t="n"/>
      <c r="D282" s="18" t="n"/>
      <c r="E282" s="18" t="n"/>
      <c r="F282" s="19" t="n"/>
      <c r="G282" s="18" t="n"/>
      <c r="H282">
        <f>IF(OR($E282="Raudt",$E282="Rødt",$E282="Raud",$E282="Rød"),3,IF($E282="Gult",2,IF(OR($E282="Grønt",$E282="Grøn",$E282="Grønn"),1,0)))</f>
        <v/>
      </c>
      <c r="I282">
        <f>IF(AND($C282&lt;&gt;"",$A282='Oversikt'!$C$4,$B282='Oversikt'!$C$5,$C282='Elevkort'!$C$4),MAX(I$1:I281)+1,"")</f>
        <v/>
      </c>
    </row>
    <row r="283" ht="20" customHeight="1">
      <c r="A283" s="18" t="n"/>
      <c r="B283" s="18" t="n"/>
      <c r="C283" s="18" t="n"/>
      <c r="D283" s="18" t="n"/>
      <c r="E283" s="18" t="n"/>
      <c r="F283" s="19" t="n"/>
      <c r="G283" s="18" t="n"/>
      <c r="H283">
        <f>IF(OR($E283="Raudt",$E283="Rødt",$E283="Raud",$E283="Rød"),3,IF($E283="Gult",2,IF(OR($E283="Grønt",$E283="Grøn",$E283="Grønn"),1,0)))</f>
        <v/>
      </c>
      <c r="I283">
        <f>IF(AND($C283&lt;&gt;"",$A283='Oversikt'!$C$4,$B283='Oversikt'!$C$5,$C283='Elevkort'!$C$4),MAX(I$1:I282)+1,"")</f>
        <v/>
      </c>
    </row>
    <row r="284" ht="20" customHeight="1">
      <c r="A284" s="18" t="n"/>
      <c r="B284" s="18" t="n"/>
      <c r="C284" s="18" t="n"/>
      <c r="D284" s="18" t="n"/>
      <c r="E284" s="18" t="n"/>
      <c r="F284" s="19" t="n"/>
      <c r="G284" s="18" t="n"/>
      <c r="H284">
        <f>IF(OR($E284="Raudt",$E284="Rødt",$E284="Raud",$E284="Rød"),3,IF($E284="Gult",2,IF(OR($E284="Grønt",$E284="Grøn",$E284="Grønn"),1,0)))</f>
        <v/>
      </c>
      <c r="I284">
        <f>IF(AND($C284&lt;&gt;"",$A284='Oversikt'!$C$4,$B284='Oversikt'!$C$5,$C284='Elevkort'!$C$4),MAX(I$1:I283)+1,"")</f>
        <v/>
      </c>
    </row>
    <row r="285" ht="20" customHeight="1">
      <c r="A285" s="18" t="n"/>
      <c r="B285" s="18" t="n"/>
      <c r="C285" s="18" t="n"/>
      <c r="D285" s="18" t="n"/>
      <c r="E285" s="18" t="n"/>
      <c r="F285" s="19" t="n"/>
      <c r="G285" s="18" t="n"/>
      <c r="H285">
        <f>IF(OR($E285="Raudt",$E285="Rødt",$E285="Raud",$E285="Rød"),3,IF($E285="Gult",2,IF(OR($E285="Grønt",$E285="Grøn",$E285="Grønn"),1,0)))</f>
        <v/>
      </c>
      <c r="I285">
        <f>IF(AND($C285&lt;&gt;"",$A285='Oversikt'!$C$4,$B285='Oversikt'!$C$5,$C285='Elevkort'!$C$4),MAX(I$1:I284)+1,"")</f>
        <v/>
      </c>
    </row>
    <row r="286" ht="20" customHeight="1">
      <c r="A286" s="18" t="n"/>
      <c r="B286" s="18" t="n"/>
      <c r="C286" s="18" t="n"/>
      <c r="D286" s="18" t="n"/>
      <c r="E286" s="18" t="n"/>
      <c r="F286" s="19" t="n"/>
      <c r="G286" s="18" t="n"/>
      <c r="H286">
        <f>IF(OR($E286="Raudt",$E286="Rødt",$E286="Raud",$E286="Rød"),3,IF($E286="Gult",2,IF(OR($E286="Grønt",$E286="Grøn",$E286="Grønn"),1,0)))</f>
        <v/>
      </c>
      <c r="I286">
        <f>IF(AND($C286&lt;&gt;"",$A286='Oversikt'!$C$4,$B286='Oversikt'!$C$5,$C286='Elevkort'!$C$4),MAX(I$1:I285)+1,"")</f>
        <v/>
      </c>
    </row>
    <row r="287" ht="20" customHeight="1">
      <c r="A287" s="18" t="n"/>
      <c r="B287" s="18" t="n"/>
      <c r="C287" s="18" t="n"/>
      <c r="D287" s="18" t="n"/>
      <c r="E287" s="18" t="n"/>
      <c r="F287" s="19" t="n"/>
      <c r="G287" s="18" t="n"/>
      <c r="H287">
        <f>IF(OR($E287="Raudt",$E287="Rødt",$E287="Raud",$E287="Rød"),3,IF($E287="Gult",2,IF(OR($E287="Grønt",$E287="Grøn",$E287="Grønn"),1,0)))</f>
        <v/>
      </c>
      <c r="I287">
        <f>IF(AND($C287&lt;&gt;"",$A287='Oversikt'!$C$4,$B287='Oversikt'!$C$5,$C287='Elevkort'!$C$4),MAX(I$1:I286)+1,"")</f>
        <v/>
      </c>
    </row>
    <row r="288" ht="20" customHeight="1">
      <c r="A288" s="18" t="n"/>
      <c r="B288" s="18" t="n"/>
      <c r="C288" s="18" t="n"/>
      <c r="D288" s="18" t="n"/>
      <c r="E288" s="18" t="n"/>
      <c r="F288" s="19" t="n"/>
      <c r="G288" s="18" t="n"/>
      <c r="H288">
        <f>IF(OR($E288="Raudt",$E288="Rødt",$E288="Raud",$E288="Rød"),3,IF($E288="Gult",2,IF(OR($E288="Grønt",$E288="Grøn",$E288="Grønn"),1,0)))</f>
        <v/>
      </c>
      <c r="I288">
        <f>IF(AND($C288&lt;&gt;"",$A288='Oversikt'!$C$4,$B288='Oversikt'!$C$5,$C288='Elevkort'!$C$4),MAX(I$1:I287)+1,"")</f>
        <v/>
      </c>
    </row>
    <row r="289" ht="20" customHeight="1">
      <c r="A289" s="18" t="n"/>
      <c r="B289" s="18" t="n"/>
      <c r="C289" s="18" t="n"/>
      <c r="D289" s="18" t="n"/>
      <c r="E289" s="18" t="n"/>
      <c r="F289" s="19" t="n"/>
      <c r="G289" s="18" t="n"/>
      <c r="H289">
        <f>IF(OR($E289="Raudt",$E289="Rødt",$E289="Raud",$E289="Rød"),3,IF($E289="Gult",2,IF(OR($E289="Grønt",$E289="Grøn",$E289="Grønn"),1,0)))</f>
        <v/>
      </c>
      <c r="I289">
        <f>IF(AND($C289&lt;&gt;"",$A289='Oversikt'!$C$4,$B289='Oversikt'!$C$5,$C289='Elevkort'!$C$4),MAX(I$1:I288)+1,"")</f>
        <v/>
      </c>
    </row>
    <row r="290" ht="20" customHeight="1">
      <c r="A290" s="18" t="n"/>
      <c r="B290" s="18" t="n"/>
      <c r="C290" s="18" t="n"/>
      <c r="D290" s="18" t="n"/>
      <c r="E290" s="18" t="n"/>
      <c r="F290" s="19" t="n"/>
      <c r="G290" s="18" t="n"/>
      <c r="H290">
        <f>IF(OR($E290="Raudt",$E290="Rødt",$E290="Raud",$E290="Rød"),3,IF($E290="Gult",2,IF(OR($E290="Grønt",$E290="Grøn",$E290="Grønn"),1,0)))</f>
        <v/>
      </c>
      <c r="I290">
        <f>IF(AND($C290&lt;&gt;"",$A290='Oversikt'!$C$4,$B290='Oversikt'!$C$5,$C290='Elevkort'!$C$4),MAX(I$1:I289)+1,"")</f>
        <v/>
      </c>
    </row>
    <row r="291" ht="20" customHeight="1">
      <c r="A291" s="18" t="n"/>
      <c r="B291" s="18" t="n"/>
      <c r="C291" s="18" t="n"/>
      <c r="D291" s="18" t="n"/>
      <c r="E291" s="18" t="n"/>
      <c r="F291" s="19" t="n"/>
      <c r="G291" s="18" t="n"/>
      <c r="H291">
        <f>IF(OR($E291="Raudt",$E291="Rødt",$E291="Raud",$E291="Rød"),3,IF($E291="Gult",2,IF(OR($E291="Grønt",$E291="Grøn",$E291="Grønn"),1,0)))</f>
        <v/>
      </c>
      <c r="I291">
        <f>IF(AND($C291&lt;&gt;"",$A291='Oversikt'!$C$4,$B291='Oversikt'!$C$5,$C291='Elevkort'!$C$4),MAX(I$1:I290)+1,"")</f>
        <v/>
      </c>
    </row>
    <row r="292" ht="20" customHeight="1">
      <c r="A292" s="18" t="n"/>
      <c r="B292" s="18" t="n"/>
      <c r="C292" s="18" t="n"/>
      <c r="D292" s="18" t="n"/>
      <c r="E292" s="18" t="n"/>
      <c r="F292" s="19" t="n"/>
      <c r="G292" s="18" t="n"/>
      <c r="H292">
        <f>IF(OR($E292="Raudt",$E292="Rødt",$E292="Raud",$E292="Rød"),3,IF($E292="Gult",2,IF(OR($E292="Grønt",$E292="Grøn",$E292="Grønn"),1,0)))</f>
        <v/>
      </c>
      <c r="I292">
        <f>IF(AND($C292&lt;&gt;"",$A292='Oversikt'!$C$4,$B292='Oversikt'!$C$5,$C292='Elevkort'!$C$4),MAX(I$1:I291)+1,"")</f>
        <v/>
      </c>
    </row>
    <row r="293" ht="20" customHeight="1">
      <c r="A293" s="18" t="n"/>
      <c r="B293" s="18" t="n"/>
      <c r="C293" s="18" t="n"/>
      <c r="D293" s="18" t="n"/>
      <c r="E293" s="18" t="n"/>
      <c r="F293" s="19" t="n"/>
      <c r="G293" s="18" t="n"/>
      <c r="H293">
        <f>IF(OR($E293="Raudt",$E293="Rødt",$E293="Raud",$E293="Rød"),3,IF($E293="Gult",2,IF(OR($E293="Grønt",$E293="Grøn",$E293="Grønn"),1,0)))</f>
        <v/>
      </c>
      <c r="I293">
        <f>IF(AND($C293&lt;&gt;"",$A293='Oversikt'!$C$4,$B293='Oversikt'!$C$5,$C293='Elevkort'!$C$4),MAX(I$1:I292)+1,"")</f>
        <v/>
      </c>
    </row>
    <row r="294" ht="20" customHeight="1">
      <c r="A294" s="18" t="n"/>
      <c r="B294" s="18" t="n"/>
      <c r="C294" s="18" t="n"/>
      <c r="D294" s="18" t="n"/>
      <c r="E294" s="18" t="n"/>
      <c r="F294" s="19" t="n"/>
      <c r="G294" s="18" t="n"/>
      <c r="H294">
        <f>IF(OR($E294="Raudt",$E294="Rødt",$E294="Raud",$E294="Rød"),3,IF($E294="Gult",2,IF(OR($E294="Grønt",$E294="Grøn",$E294="Grønn"),1,0)))</f>
        <v/>
      </c>
      <c r="I294">
        <f>IF(AND($C294&lt;&gt;"",$A294='Oversikt'!$C$4,$B294='Oversikt'!$C$5,$C294='Elevkort'!$C$4),MAX(I$1:I293)+1,"")</f>
        <v/>
      </c>
    </row>
    <row r="295" ht="20" customHeight="1">
      <c r="A295" s="18" t="n"/>
      <c r="B295" s="18" t="n"/>
      <c r="C295" s="18" t="n"/>
      <c r="D295" s="18" t="n"/>
      <c r="E295" s="18" t="n"/>
      <c r="F295" s="19" t="n"/>
      <c r="G295" s="18" t="n"/>
      <c r="H295">
        <f>IF(OR($E295="Raudt",$E295="Rødt",$E295="Raud",$E295="Rød"),3,IF($E295="Gult",2,IF(OR($E295="Grønt",$E295="Grøn",$E295="Grønn"),1,0)))</f>
        <v/>
      </c>
      <c r="I295">
        <f>IF(AND($C295&lt;&gt;"",$A295='Oversikt'!$C$4,$B295='Oversikt'!$C$5,$C295='Elevkort'!$C$4),MAX(I$1:I294)+1,"")</f>
        <v/>
      </c>
    </row>
    <row r="296" ht="20" customHeight="1">
      <c r="A296" s="18" t="n"/>
      <c r="B296" s="18" t="n"/>
      <c r="C296" s="18" t="n"/>
      <c r="D296" s="18" t="n"/>
      <c r="E296" s="18" t="n"/>
      <c r="F296" s="19" t="n"/>
      <c r="G296" s="18" t="n"/>
      <c r="H296">
        <f>IF(OR($E296="Raudt",$E296="Rødt",$E296="Raud",$E296="Rød"),3,IF($E296="Gult",2,IF(OR($E296="Grønt",$E296="Grøn",$E296="Grønn"),1,0)))</f>
        <v/>
      </c>
      <c r="I296">
        <f>IF(AND($C296&lt;&gt;"",$A296='Oversikt'!$C$4,$B296='Oversikt'!$C$5,$C296='Elevkort'!$C$4),MAX(I$1:I295)+1,"")</f>
        <v/>
      </c>
    </row>
    <row r="297" ht="20" customHeight="1">
      <c r="A297" s="18" t="n"/>
      <c r="B297" s="18" t="n"/>
      <c r="C297" s="18" t="n"/>
      <c r="D297" s="18" t="n"/>
      <c r="E297" s="18" t="n"/>
      <c r="F297" s="19" t="n"/>
      <c r="G297" s="18" t="n"/>
      <c r="H297">
        <f>IF(OR($E297="Raudt",$E297="Rødt",$E297="Raud",$E297="Rød"),3,IF($E297="Gult",2,IF(OR($E297="Grønt",$E297="Grøn",$E297="Grønn"),1,0)))</f>
        <v/>
      </c>
      <c r="I297">
        <f>IF(AND($C297&lt;&gt;"",$A297='Oversikt'!$C$4,$B297='Oversikt'!$C$5,$C297='Elevkort'!$C$4),MAX(I$1:I296)+1,"")</f>
        <v/>
      </c>
    </row>
    <row r="298" ht="20" customHeight="1">
      <c r="A298" s="18" t="n"/>
      <c r="B298" s="18" t="n"/>
      <c r="C298" s="18" t="n"/>
      <c r="D298" s="18" t="n"/>
      <c r="E298" s="18" t="n"/>
      <c r="F298" s="19" t="n"/>
      <c r="G298" s="18" t="n"/>
      <c r="H298">
        <f>IF(OR($E298="Raudt",$E298="Rødt",$E298="Raud",$E298="Rød"),3,IF($E298="Gult",2,IF(OR($E298="Grønt",$E298="Grøn",$E298="Grønn"),1,0)))</f>
        <v/>
      </c>
      <c r="I298">
        <f>IF(AND($C298&lt;&gt;"",$A298='Oversikt'!$C$4,$B298='Oversikt'!$C$5,$C298='Elevkort'!$C$4),MAX(I$1:I297)+1,"")</f>
        <v/>
      </c>
    </row>
    <row r="299" ht="20" customHeight="1">
      <c r="A299" s="18" t="n"/>
      <c r="B299" s="18" t="n"/>
      <c r="C299" s="18" t="n"/>
      <c r="D299" s="18" t="n"/>
      <c r="E299" s="18" t="n"/>
      <c r="F299" s="19" t="n"/>
      <c r="G299" s="18" t="n"/>
      <c r="H299">
        <f>IF(OR($E299="Raudt",$E299="Rødt",$E299="Raud",$E299="Rød"),3,IF($E299="Gult",2,IF(OR($E299="Grønt",$E299="Grøn",$E299="Grønn"),1,0)))</f>
        <v/>
      </c>
      <c r="I299">
        <f>IF(AND($C299&lt;&gt;"",$A299='Oversikt'!$C$4,$B299='Oversikt'!$C$5,$C299='Elevkort'!$C$4),MAX(I$1:I298)+1,"")</f>
        <v/>
      </c>
    </row>
    <row r="300" ht="20" customHeight="1">
      <c r="A300" s="18" t="n"/>
      <c r="B300" s="18" t="n"/>
      <c r="C300" s="18" t="n"/>
      <c r="D300" s="18" t="n"/>
      <c r="E300" s="18" t="n"/>
      <c r="F300" s="19" t="n"/>
      <c r="G300" s="18" t="n"/>
      <c r="H300">
        <f>IF(OR($E300="Raudt",$E300="Rødt",$E300="Raud",$E300="Rød"),3,IF($E300="Gult",2,IF(OR($E300="Grønt",$E300="Grøn",$E300="Grønn"),1,0)))</f>
        <v/>
      </c>
      <c r="I300">
        <f>IF(AND($C300&lt;&gt;"",$A300='Oversikt'!$C$4,$B300='Oversikt'!$C$5,$C300='Elevkort'!$C$4),MAX(I$1:I299)+1,"")</f>
        <v/>
      </c>
    </row>
    <row r="301" ht="20" customHeight="1">
      <c r="A301" s="18" t="n"/>
      <c r="B301" s="18" t="n"/>
      <c r="C301" s="18" t="n"/>
      <c r="D301" s="18" t="n"/>
      <c r="E301" s="18" t="n"/>
      <c r="F301" s="19" t="n"/>
      <c r="G301" s="18" t="n"/>
      <c r="H301">
        <f>IF(OR($E301="Raudt",$E301="Rødt",$E301="Raud",$E301="Rød"),3,IF($E301="Gult",2,IF(OR($E301="Grønt",$E301="Grøn",$E301="Grønn"),1,0)))</f>
        <v/>
      </c>
      <c r="I301">
        <f>IF(AND($C301&lt;&gt;"",$A301='Oversikt'!$C$4,$B301='Oversikt'!$C$5,$C301='Elevkort'!$C$4),MAX(I$1:I300)+1,"")</f>
        <v/>
      </c>
    </row>
    <row r="302" ht="20" customHeight="1">
      <c r="A302" s="18" t="n"/>
      <c r="B302" s="18" t="n"/>
      <c r="C302" s="18" t="n"/>
      <c r="D302" s="18" t="n"/>
      <c r="E302" s="18" t="n"/>
      <c r="F302" s="19" t="n"/>
      <c r="G302" s="18" t="n"/>
      <c r="H302">
        <f>IF(OR($E302="Raudt",$E302="Rødt",$E302="Raud",$E302="Rød"),3,IF($E302="Gult",2,IF(OR($E302="Grønt",$E302="Grøn",$E302="Grønn"),1,0)))</f>
        <v/>
      </c>
      <c r="I302">
        <f>IF(AND($C302&lt;&gt;"",$A302='Oversikt'!$C$4,$B302='Oversikt'!$C$5,$C302='Elevkort'!$C$4),MAX(I$1:I301)+1,"")</f>
        <v/>
      </c>
    </row>
    <row r="303" ht="20" customHeight="1">
      <c r="A303" s="18" t="n"/>
      <c r="B303" s="18" t="n"/>
      <c r="C303" s="18" t="n"/>
      <c r="D303" s="18" t="n"/>
      <c r="E303" s="18" t="n"/>
      <c r="F303" s="19" t="n"/>
      <c r="G303" s="18" t="n"/>
      <c r="H303">
        <f>IF(OR($E303="Raudt",$E303="Rødt",$E303="Raud",$E303="Rød"),3,IF($E303="Gult",2,IF(OR($E303="Grønt",$E303="Grøn",$E303="Grønn"),1,0)))</f>
        <v/>
      </c>
      <c r="I303">
        <f>IF(AND($C303&lt;&gt;"",$A303='Oversikt'!$C$4,$B303='Oversikt'!$C$5,$C303='Elevkort'!$C$4),MAX(I$1:I302)+1,"")</f>
        <v/>
      </c>
    </row>
    <row r="304" ht="20" customHeight="1">
      <c r="A304" s="18" t="n"/>
      <c r="B304" s="18" t="n"/>
      <c r="C304" s="18" t="n"/>
      <c r="D304" s="18" t="n"/>
      <c r="E304" s="18" t="n"/>
      <c r="F304" s="19" t="n"/>
      <c r="G304" s="18" t="n"/>
      <c r="H304">
        <f>IF(OR($E304="Raudt",$E304="Rødt",$E304="Raud",$E304="Rød"),3,IF($E304="Gult",2,IF(OR($E304="Grønt",$E304="Grøn",$E304="Grønn"),1,0)))</f>
        <v/>
      </c>
      <c r="I304">
        <f>IF(AND($C304&lt;&gt;"",$A304='Oversikt'!$C$4,$B304='Oversikt'!$C$5,$C304='Elevkort'!$C$4),MAX(I$1:I303)+1,"")</f>
        <v/>
      </c>
    </row>
    <row r="305" ht="20" customHeight="1">
      <c r="A305" s="18" t="n"/>
      <c r="B305" s="18" t="n"/>
      <c r="C305" s="18" t="n"/>
      <c r="D305" s="18" t="n"/>
      <c r="E305" s="18" t="n"/>
      <c r="F305" s="19" t="n"/>
      <c r="G305" s="18" t="n"/>
      <c r="H305">
        <f>IF(OR($E305="Raudt",$E305="Rødt",$E305="Raud",$E305="Rød"),3,IF($E305="Gult",2,IF(OR($E305="Grønt",$E305="Grøn",$E305="Grønn"),1,0)))</f>
        <v/>
      </c>
      <c r="I305">
        <f>IF(AND($C305&lt;&gt;"",$A305='Oversikt'!$C$4,$B305='Oversikt'!$C$5,$C305='Elevkort'!$C$4),MAX(I$1:I304)+1,"")</f>
        <v/>
      </c>
    </row>
    <row r="306" ht="20" customHeight="1">
      <c r="A306" s="18" t="n"/>
      <c r="B306" s="18" t="n"/>
      <c r="C306" s="18" t="n"/>
      <c r="D306" s="18" t="n"/>
      <c r="E306" s="18" t="n"/>
      <c r="F306" s="19" t="n"/>
      <c r="G306" s="18" t="n"/>
      <c r="H306">
        <f>IF(OR($E306="Raudt",$E306="Rødt",$E306="Raud",$E306="Rød"),3,IF($E306="Gult",2,IF(OR($E306="Grønt",$E306="Grøn",$E306="Grønn"),1,0)))</f>
        <v/>
      </c>
      <c r="I306">
        <f>IF(AND($C306&lt;&gt;"",$A306='Oversikt'!$C$4,$B306='Oversikt'!$C$5,$C306='Elevkort'!$C$4),MAX(I$1:I305)+1,"")</f>
        <v/>
      </c>
    </row>
    <row r="307" ht="20" customHeight="1">
      <c r="A307" s="18" t="n"/>
      <c r="B307" s="18" t="n"/>
      <c r="C307" s="18" t="n"/>
      <c r="D307" s="18" t="n"/>
      <c r="E307" s="18" t="n"/>
      <c r="F307" s="19" t="n"/>
      <c r="G307" s="18" t="n"/>
      <c r="H307">
        <f>IF(OR($E307="Raudt",$E307="Rødt",$E307="Raud",$E307="Rød"),3,IF($E307="Gult",2,IF(OR($E307="Grønt",$E307="Grøn",$E307="Grønn"),1,0)))</f>
        <v/>
      </c>
      <c r="I307">
        <f>IF(AND($C307&lt;&gt;"",$A307='Oversikt'!$C$4,$B307='Oversikt'!$C$5,$C307='Elevkort'!$C$4),MAX(I$1:I306)+1,"")</f>
        <v/>
      </c>
    </row>
    <row r="308" ht="20" customHeight="1">
      <c r="A308" s="18" t="n"/>
      <c r="B308" s="18" t="n"/>
      <c r="C308" s="18" t="n"/>
      <c r="D308" s="18" t="n"/>
      <c r="E308" s="18" t="n"/>
      <c r="F308" s="19" t="n"/>
      <c r="G308" s="18" t="n"/>
      <c r="H308">
        <f>IF(OR($E308="Raudt",$E308="Rødt",$E308="Raud",$E308="Rød"),3,IF($E308="Gult",2,IF(OR($E308="Grønt",$E308="Grøn",$E308="Grønn"),1,0)))</f>
        <v/>
      </c>
      <c r="I308">
        <f>IF(AND($C308&lt;&gt;"",$A308='Oversikt'!$C$4,$B308='Oversikt'!$C$5,$C308='Elevkort'!$C$4),MAX(I$1:I307)+1,"")</f>
        <v/>
      </c>
    </row>
    <row r="309" ht="20" customHeight="1">
      <c r="A309" s="18" t="n"/>
      <c r="B309" s="18" t="n"/>
      <c r="C309" s="18" t="n"/>
      <c r="D309" s="18" t="n"/>
      <c r="E309" s="18" t="n"/>
      <c r="F309" s="19" t="n"/>
      <c r="G309" s="18" t="n"/>
      <c r="H309">
        <f>IF(OR($E309="Raudt",$E309="Rødt",$E309="Raud",$E309="Rød"),3,IF($E309="Gult",2,IF(OR($E309="Grønt",$E309="Grøn",$E309="Grønn"),1,0)))</f>
        <v/>
      </c>
      <c r="I309">
        <f>IF(AND($C309&lt;&gt;"",$A309='Oversikt'!$C$4,$B309='Oversikt'!$C$5,$C309='Elevkort'!$C$4),MAX(I$1:I308)+1,"")</f>
        <v/>
      </c>
    </row>
    <row r="310" ht="20" customHeight="1">
      <c r="A310" s="18" t="n"/>
      <c r="B310" s="18" t="n"/>
      <c r="C310" s="18" t="n"/>
      <c r="D310" s="18" t="n"/>
      <c r="E310" s="18" t="n"/>
      <c r="F310" s="19" t="n"/>
      <c r="G310" s="18" t="n"/>
      <c r="H310">
        <f>IF(OR($E310="Raudt",$E310="Rødt",$E310="Raud",$E310="Rød"),3,IF($E310="Gult",2,IF(OR($E310="Grønt",$E310="Grøn",$E310="Grønn"),1,0)))</f>
        <v/>
      </c>
      <c r="I310">
        <f>IF(AND($C310&lt;&gt;"",$A310='Oversikt'!$C$4,$B310='Oversikt'!$C$5,$C310='Elevkort'!$C$4),MAX(I$1:I309)+1,"")</f>
        <v/>
      </c>
    </row>
    <row r="311" ht="20" customHeight="1">
      <c r="A311" s="18" t="n"/>
      <c r="B311" s="18" t="n"/>
      <c r="C311" s="18" t="n"/>
      <c r="D311" s="18" t="n"/>
      <c r="E311" s="18" t="n"/>
      <c r="F311" s="19" t="n"/>
      <c r="G311" s="18" t="n"/>
      <c r="H311">
        <f>IF(OR($E311="Raudt",$E311="Rødt",$E311="Raud",$E311="Rød"),3,IF($E311="Gult",2,IF(OR($E311="Grønt",$E311="Grøn",$E311="Grønn"),1,0)))</f>
        <v/>
      </c>
      <c r="I311">
        <f>IF(AND($C311&lt;&gt;"",$A311='Oversikt'!$C$4,$B311='Oversikt'!$C$5,$C311='Elevkort'!$C$4),MAX(I$1:I310)+1,"")</f>
        <v/>
      </c>
    </row>
    <row r="312" ht="20" customHeight="1">
      <c r="A312" s="18" t="n"/>
      <c r="B312" s="18" t="n"/>
      <c r="C312" s="18" t="n"/>
      <c r="D312" s="18" t="n"/>
      <c r="E312" s="18" t="n"/>
      <c r="F312" s="19" t="n"/>
      <c r="G312" s="18" t="n"/>
      <c r="H312">
        <f>IF(OR($E312="Raudt",$E312="Rødt",$E312="Raud",$E312="Rød"),3,IF($E312="Gult",2,IF(OR($E312="Grønt",$E312="Grøn",$E312="Grønn"),1,0)))</f>
        <v/>
      </c>
      <c r="I312">
        <f>IF(AND($C312&lt;&gt;"",$A312='Oversikt'!$C$4,$B312='Oversikt'!$C$5,$C312='Elevkort'!$C$4),MAX(I$1:I311)+1,"")</f>
        <v/>
      </c>
    </row>
    <row r="313" ht="20" customHeight="1">
      <c r="A313" s="18" t="n"/>
      <c r="B313" s="18" t="n"/>
      <c r="C313" s="18" t="n"/>
      <c r="D313" s="18" t="n"/>
      <c r="E313" s="18" t="n"/>
      <c r="F313" s="19" t="n"/>
      <c r="G313" s="18" t="n"/>
      <c r="H313">
        <f>IF(OR($E313="Raudt",$E313="Rødt",$E313="Raud",$E313="Rød"),3,IF($E313="Gult",2,IF(OR($E313="Grønt",$E313="Grøn",$E313="Grønn"),1,0)))</f>
        <v/>
      </c>
      <c r="I313">
        <f>IF(AND($C313&lt;&gt;"",$A313='Oversikt'!$C$4,$B313='Oversikt'!$C$5,$C313='Elevkort'!$C$4),MAX(I$1:I312)+1,"")</f>
        <v/>
      </c>
    </row>
    <row r="314" ht="20" customHeight="1">
      <c r="A314" s="18" t="n"/>
      <c r="B314" s="18" t="n"/>
      <c r="C314" s="18" t="n"/>
      <c r="D314" s="18" t="n"/>
      <c r="E314" s="18" t="n"/>
      <c r="F314" s="19" t="n"/>
      <c r="G314" s="18" t="n"/>
      <c r="H314">
        <f>IF(OR($E314="Raudt",$E314="Rødt",$E314="Raud",$E314="Rød"),3,IF($E314="Gult",2,IF(OR($E314="Grønt",$E314="Grøn",$E314="Grønn"),1,0)))</f>
        <v/>
      </c>
      <c r="I314">
        <f>IF(AND($C314&lt;&gt;"",$A314='Oversikt'!$C$4,$B314='Oversikt'!$C$5,$C314='Elevkort'!$C$4),MAX(I$1:I313)+1,"")</f>
        <v/>
      </c>
    </row>
    <row r="315" ht="20" customHeight="1">
      <c r="A315" s="18" t="n"/>
      <c r="B315" s="18" t="n"/>
      <c r="C315" s="18" t="n"/>
      <c r="D315" s="18" t="n"/>
      <c r="E315" s="18" t="n"/>
      <c r="F315" s="19" t="n"/>
      <c r="G315" s="18" t="n"/>
      <c r="H315">
        <f>IF(OR($E315="Raudt",$E315="Rødt",$E315="Raud",$E315="Rød"),3,IF($E315="Gult",2,IF(OR($E315="Grønt",$E315="Grøn",$E315="Grønn"),1,0)))</f>
        <v/>
      </c>
      <c r="I315">
        <f>IF(AND($C315&lt;&gt;"",$A315='Oversikt'!$C$4,$B315='Oversikt'!$C$5,$C315='Elevkort'!$C$4),MAX(I$1:I314)+1,"")</f>
        <v/>
      </c>
    </row>
    <row r="316" ht="20" customHeight="1">
      <c r="A316" s="18" t="n"/>
      <c r="B316" s="18" t="n"/>
      <c r="C316" s="18" t="n"/>
      <c r="D316" s="18" t="n"/>
      <c r="E316" s="18" t="n"/>
      <c r="F316" s="19" t="n"/>
      <c r="G316" s="18" t="n"/>
      <c r="H316">
        <f>IF(OR($E316="Raudt",$E316="Rødt",$E316="Raud",$E316="Rød"),3,IF($E316="Gult",2,IF(OR($E316="Grønt",$E316="Grøn",$E316="Grønn"),1,0)))</f>
        <v/>
      </c>
      <c r="I316">
        <f>IF(AND($C316&lt;&gt;"",$A316='Oversikt'!$C$4,$B316='Oversikt'!$C$5,$C316='Elevkort'!$C$4),MAX(I$1:I315)+1,"")</f>
        <v/>
      </c>
    </row>
    <row r="317" ht="20" customHeight="1">
      <c r="A317" s="18" t="n"/>
      <c r="B317" s="18" t="n"/>
      <c r="C317" s="18" t="n"/>
      <c r="D317" s="18" t="n"/>
      <c r="E317" s="18" t="n"/>
      <c r="F317" s="19" t="n"/>
      <c r="G317" s="18" t="n"/>
      <c r="H317">
        <f>IF(OR($E317="Raudt",$E317="Rødt",$E317="Raud",$E317="Rød"),3,IF($E317="Gult",2,IF(OR($E317="Grønt",$E317="Grøn",$E317="Grønn"),1,0)))</f>
        <v/>
      </c>
      <c r="I317">
        <f>IF(AND($C317&lt;&gt;"",$A317='Oversikt'!$C$4,$B317='Oversikt'!$C$5,$C317='Elevkort'!$C$4),MAX(I$1:I316)+1,"")</f>
        <v/>
      </c>
    </row>
    <row r="318" ht="20" customHeight="1">
      <c r="A318" s="18" t="n"/>
      <c r="B318" s="18" t="n"/>
      <c r="C318" s="18" t="n"/>
      <c r="D318" s="18" t="n"/>
      <c r="E318" s="18" t="n"/>
      <c r="F318" s="19" t="n"/>
      <c r="G318" s="18" t="n"/>
      <c r="H318">
        <f>IF(OR($E318="Raudt",$E318="Rødt",$E318="Raud",$E318="Rød"),3,IF($E318="Gult",2,IF(OR($E318="Grønt",$E318="Grøn",$E318="Grønn"),1,0)))</f>
        <v/>
      </c>
      <c r="I318">
        <f>IF(AND($C318&lt;&gt;"",$A318='Oversikt'!$C$4,$B318='Oversikt'!$C$5,$C318='Elevkort'!$C$4),MAX(I$1:I317)+1,"")</f>
        <v/>
      </c>
    </row>
    <row r="319" ht="20" customHeight="1">
      <c r="A319" s="18" t="n"/>
      <c r="B319" s="18" t="n"/>
      <c r="C319" s="18" t="n"/>
      <c r="D319" s="18" t="n"/>
      <c r="E319" s="18" t="n"/>
      <c r="F319" s="19" t="n"/>
      <c r="G319" s="18" t="n"/>
      <c r="H319">
        <f>IF(OR($E319="Raudt",$E319="Rødt",$E319="Raud",$E319="Rød"),3,IF($E319="Gult",2,IF(OR($E319="Grønt",$E319="Grøn",$E319="Grønn"),1,0)))</f>
        <v/>
      </c>
      <c r="I319">
        <f>IF(AND($C319&lt;&gt;"",$A319='Oversikt'!$C$4,$B319='Oversikt'!$C$5,$C319='Elevkort'!$C$4),MAX(I$1:I318)+1,"")</f>
        <v/>
      </c>
    </row>
    <row r="320" ht="20" customHeight="1">
      <c r="A320" s="18" t="n"/>
      <c r="B320" s="18" t="n"/>
      <c r="C320" s="18" t="n"/>
      <c r="D320" s="18" t="n"/>
      <c r="E320" s="18" t="n"/>
      <c r="F320" s="19" t="n"/>
      <c r="G320" s="18" t="n"/>
      <c r="H320">
        <f>IF(OR($E320="Raudt",$E320="Rødt",$E320="Raud",$E320="Rød"),3,IF($E320="Gult",2,IF(OR($E320="Grønt",$E320="Grøn",$E320="Grønn"),1,0)))</f>
        <v/>
      </c>
      <c r="I320">
        <f>IF(AND($C320&lt;&gt;"",$A320='Oversikt'!$C$4,$B320='Oversikt'!$C$5,$C320='Elevkort'!$C$4),MAX(I$1:I319)+1,"")</f>
        <v/>
      </c>
    </row>
    <row r="321" ht="20" customHeight="1">
      <c r="A321" s="18" t="n"/>
      <c r="B321" s="18" t="n"/>
      <c r="C321" s="18" t="n"/>
      <c r="D321" s="18" t="n"/>
      <c r="E321" s="18" t="n"/>
      <c r="F321" s="19" t="n"/>
      <c r="G321" s="18" t="n"/>
      <c r="H321">
        <f>IF(OR($E321="Raudt",$E321="Rødt",$E321="Raud",$E321="Rød"),3,IF($E321="Gult",2,IF(OR($E321="Grønt",$E321="Grøn",$E321="Grønn"),1,0)))</f>
        <v/>
      </c>
      <c r="I321">
        <f>IF(AND($C321&lt;&gt;"",$A321='Oversikt'!$C$4,$B321='Oversikt'!$C$5,$C321='Elevkort'!$C$4),MAX(I$1:I320)+1,"")</f>
        <v/>
      </c>
    </row>
    <row r="322" ht="20" customHeight="1">
      <c r="A322" s="18" t="n"/>
      <c r="B322" s="18" t="n"/>
      <c r="C322" s="18" t="n"/>
      <c r="D322" s="18" t="n"/>
      <c r="E322" s="18" t="n"/>
      <c r="F322" s="19" t="n"/>
      <c r="G322" s="18" t="n"/>
      <c r="H322">
        <f>IF(OR($E322="Raudt",$E322="Rødt",$E322="Raud",$E322="Rød"),3,IF($E322="Gult",2,IF(OR($E322="Grønt",$E322="Grøn",$E322="Grønn"),1,0)))</f>
        <v/>
      </c>
      <c r="I322">
        <f>IF(AND($C322&lt;&gt;"",$A322='Oversikt'!$C$4,$B322='Oversikt'!$C$5,$C322='Elevkort'!$C$4),MAX(I$1:I321)+1,"")</f>
        <v/>
      </c>
    </row>
    <row r="323" ht="20" customHeight="1">
      <c r="A323" s="18" t="n"/>
      <c r="B323" s="18" t="n"/>
      <c r="C323" s="18" t="n"/>
      <c r="D323" s="18" t="n"/>
      <c r="E323" s="18" t="n"/>
      <c r="F323" s="19" t="n"/>
      <c r="G323" s="18" t="n"/>
      <c r="H323">
        <f>IF(OR($E323="Raudt",$E323="Rødt",$E323="Raud",$E323="Rød"),3,IF($E323="Gult",2,IF(OR($E323="Grønt",$E323="Grøn",$E323="Grønn"),1,0)))</f>
        <v/>
      </c>
      <c r="I323">
        <f>IF(AND($C323&lt;&gt;"",$A323='Oversikt'!$C$4,$B323='Oversikt'!$C$5,$C323='Elevkort'!$C$4),MAX(I$1:I322)+1,"")</f>
        <v/>
      </c>
    </row>
    <row r="324" ht="20" customHeight="1">
      <c r="A324" s="18" t="n"/>
      <c r="B324" s="18" t="n"/>
      <c r="C324" s="18" t="n"/>
      <c r="D324" s="18" t="n"/>
      <c r="E324" s="18" t="n"/>
      <c r="F324" s="19" t="n"/>
      <c r="G324" s="18" t="n"/>
      <c r="H324">
        <f>IF(OR($E324="Raudt",$E324="Rødt",$E324="Raud",$E324="Rød"),3,IF($E324="Gult",2,IF(OR($E324="Grønt",$E324="Grøn",$E324="Grønn"),1,0)))</f>
        <v/>
      </c>
      <c r="I324">
        <f>IF(AND($C324&lt;&gt;"",$A324='Oversikt'!$C$4,$B324='Oversikt'!$C$5,$C324='Elevkort'!$C$4),MAX(I$1:I323)+1,"")</f>
        <v/>
      </c>
    </row>
    <row r="325" ht="20" customHeight="1">
      <c r="A325" s="18" t="n"/>
      <c r="B325" s="18" t="n"/>
      <c r="C325" s="18" t="n"/>
      <c r="D325" s="18" t="n"/>
      <c r="E325" s="18" t="n"/>
      <c r="F325" s="19" t="n"/>
      <c r="G325" s="18" t="n"/>
      <c r="H325">
        <f>IF(OR($E325="Raudt",$E325="Rødt",$E325="Raud",$E325="Rød"),3,IF($E325="Gult",2,IF(OR($E325="Grønt",$E325="Grøn",$E325="Grønn"),1,0)))</f>
        <v/>
      </c>
      <c r="I325">
        <f>IF(AND($C325&lt;&gt;"",$A325='Oversikt'!$C$4,$B325='Oversikt'!$C$5,$C325='Elevkort'!$C$4),MAX(I$1:I324)+1,"")</f>
        <v/>
      </c>
    </row>
    <row r="326" ht="20" customHeight="1">
      <c r="A326" s="18" t="n"/>
      <c r="B326" s="18" t="n"/>
      <c r="C326" s="18" t="n"/>
      <c r="D326" s="18" t="n"/>
      <c r="E326" s="18" t="n"/>
      <c r="F326" s="19" t="n"/>
      <c r="G326" s="18" t="n"/>
      <c r="H326">
        <f>IF(OR($E326="Raudt",$E326="Rødt",$E326="Raud",$E326="Rød"),3,IF($E326="Gult",2,IF(OR($E326="Grønt",$E326="Grøn",$E326="Grønn"),1,0)))</f>
        <v/>
      </c>
      <c r="I326">
        <f>IF(AND($C326&lt;&gt;"",$A326='Oversikt'!$C$4,$B326='Oversikt'!$C$5,$C326='Elevkort'!$C$4),MAX(I$1:I325)+1,"")</f>
        <v/>
      </c>
    </row>
    <row r="327" ht="20" customHeight="1">
      <c r="A327" s="18" t="n"/>
      <c r="B327" s="18" t="n"/>
      <c r="C327" s="18" t="n"/>
      <c r="D327" s="18" t="n"/>
      <c r="E327" s="18" t="n"/>
      <c r="F327" s="19" t="n"/>
      <c r="G327" s="18" t="n"/>
      <c r="H327">
        <f>IF(OR($E327="Raudt",$E327="Rødt",$E327="Raud",$E327="Rød"),3,IF($E327="Gult",2,IF(OR($E327="Grønt",$E327="Grøn",$E327="Grønn"),1,0)))</f>
        <v/>
      </c>
      <c r="I327">
        <f>IF(AND($C327&lt;&gt;"",$A327='Oversikt'!$C$4,$B327='Oversikt'!$C$5,$C327='Elevkort'!$C$4),MAX(I$1:I326)+1,"")</f>
        <v/>
      </c>
    </row>
    <row r="328" ht="20" customHeight="1">
      <c r="A328" s="18" t="n"/>
      <c r="B328" s="18" t="n"/>
      <c r="C328" s="18" t="n"/>
      <c r="D328" s="18" t="n"/>
      <c r="E328" s="18" t="n"/>
      <c r="F328" s="19" t="n"/>
      <c r="G328" s="18" t="n"/>
      <c r="H328">
        <f>IF(OR($E328="Raudt",$E328="Rødt",$E328="Raud",$E328="Rød"),3,IF($E328="Gult",2,IF(OR($E328="Grønt",$E328="Grøn",$E328="Grønn"),1,0)))</f>
        <v/>
      </c>
      <c r="I328">
        <f>IF(AND($C328&lt;&gt;"",$A328='Oversikt'!$C$4,$B328='Oversikt'!$C$5,$C328='Elevkort'!$C$4),MAX(I$1:I327)+1,"")</f>
        <v/>
      </c>
    </row>
    <row r="329" ht="20" customHeight="1">
      <c r="A329" s="18" t="n"/>
      <c r="B329" s="18" t="n"/>
      <c r="C329" s="18" t="n"/>
      <c r="D329" s="18" t="n"/>
      <c r="E329" s="18" t="n"/>
      <c r="F329" s="19" t="n"/>
      <c r="G329" s="18" t="n"/>
      <c r="H329">
        <f>IF(OR($E329="Raudt",$E329="Rødt",$E329="Raud",$E329="Rød"),3,IF($E329="Gult",2,IF(OR($E329="Grønt",$E329="Grøn",$E329="Grønn"),1,0)))</f>
        <v/>
      </c>
      <c r="I329">
        <f>IF(AND($C329&lt;&gt;"",$A329='Oversikt'!$C$4,$B329='Oversikt'!$C$5,$C329='Elevkort'!$C$4),MAX(I$1:I328)+1,"")</f>
        <v/>
      </c>
    </row>
    <row r="330" ht="20" customHeight="1">
      <c r="A330" s="18" t="n"/>
      <c r="B330" s="18" t="n"/>
      <c r="C330" s="18" t="n"/>
      <c r="D330" s="18" t="n"/>
      <c r="E330" s="18" t="n"/>
      <c r="F330" s="19" t="n"/>
      <c r="G330" s="18" t="n"/>
      <c r="H330">
        <f>IF(OR($E330="Raudt",$E330="Rødt",$E330="Raud",$E330="Rød"),3,IF($E330="Gult",2,IF(OR($E330="Grønt",$E330="Grøn",$E330="Grønn"),1,0)))</f>
        <v/>
      </c>
      <c r="I330">
        <f>IF(AND($C330&lt;&gt;"",$A330='Oversikt'!$C$4,$B330='Oversikt'!$C$5,$C330='Elevkort'!$C$4),MAX(I$1:I329)+1,"")</f>
        <v/>
      </c>
    </row>
    <row r="331" ht="20" customHeight="1">
      <c r="A331" s="18" t="n"/>
      <c r="B331" s="18" t="n"/>
      <c r="C331" s="18" t="n"/>
      <c r="D331" s="18" t="n"/>
      <c r="E331" s="18" t="n"/>
      <c r="F331" s="19" t="n"/>
      <c r="G331" s="18" t="n"/>
      <c r="H331">
        <f>IF(OR($E331="Raudt",$E331="Rødt",$E331="Raud",$E331="Rød"),3,IF($E331="Gult",2,IF(OR($E331="Grønt",$E331="Grøn",$E331="Grønn"),1,0)))</f>
        <v/>
      </c>
      <c r="I331">
        <f>IF(AND($C331&lt;&gt;"",$A331='Oversikt'!$C$4,$B331='Oversikt'!$C$5,$C331='Elevkort'!$C$4),MAX(I$1:I330)+1,"")</f>
        <v/>
      </c>
    </row>
    <row r="332" ht="20" customHeight="1">
      <c r="A332" s="18" t="n"/>
      <c r="B332" s="18" t="n"/>
      <c r="C332" s="18" t="n"/>
      <c r="D332" s="18" t="n"/>
      <c r="E332" s="18" t="n"/>
      <c r="F332" s="19" t="n"/>
      <c r="G332" s="18" t="n"/>
      <c r="H332">
        <f>IF(OR($E332="Raudt",$E332="Rødt",$E332="Raud",$E332="Rød"),3,IF($E332="Gult",2,IF(OR($E332="Grønt",$E332="Grøn",$E332="Grønn"),1,0)))</f>
        <v/>
      </c>
      <c r="I332">
        <f>IF(AND($C332&lt;&gt;"",$A332='Oversikt'!$C$4,$B332='Oversikt'!$C$5,$C332='Elevkort'!$C$4),MAX(I$1:I331)+1,"")</f>
        <v/>
      </c>
    </row>
    <row r="333" ht="20" customHeight="1">
      <c r="A333" s="18" t="n"/>
      <c r="B333" s="18" t="n"/>
      <c r="C333" s="18" t="n"/>
      <c r="D333" s="18" t="n"/>
      <c r="E333" s="18" t="n"/>
      <c r="F333" s="19" t="n"/>
      <c r="G333" s="18" t="n"/>
      <c r="H333">
        <f>IF(OR($E333="Raudt",$E333="Rødt",$E333="Raud",$E333="Rød"),3,IF($E333="Gult",2,IF(OR($E333="Grønt",$E333="Grøn",$E333="Grønn"),1,0)))</f>
        <v/>
      </c>
      <c r="I333">
        <f>IF(AND($C333&lt;&gt;"",$A333='Oversikt'!$C$4,$B333='Oversikt'!$C$5,$C333='Elevkort'!$C$4),MAX(I$1:I332)+1,"")</f>
        <v/>
      </c>
    </row>
    <row r="334" ht="20" customHeight="1">
      <c r="A334" s="18" t="n"/>
      <c r="B334" s="18" t="n"/>
      <c r="C334" s="18" t="n"/>
      <c r="D334" s="18" t="n"/>
      <c r="E334" s="18" t="n"/>
      <c r="F334" s="19" t="n"/>
      <c r="G334" s="18" t="n"/>
      <c r="H334">
        <f>IF(OR($E334="Raudt",$E334="Rødt",$E334="Raud",$E334="Rød"),3,IF($E334="Gult",2,IF(OR($E334="Grønt",$E334="Grøn",$E334="Grønn"),1,0)))</f>
        <v/>
      </c>
      <c r="I334">
        <f>IF(AND($C334&lt;&gt;"",$A334='Oversikt'!$C$4,$B334='Oversikt'!$C$5,$C334='Elevkort'!$C$4),MAX(I$1:I333)+1,"")</f>
        <v/>
      </c>
    </row>
    <row r="335" ht="20" customHeight="1">
      <c r="A335" s="18" t="n"/>
      <c r="B335" s="18" t="n"/>
      <c r="C335" s="18" t="n"/>
      <c r="D335" s="18" t="n"/>
      <c r="E335" s="18" t="n"/>
      <c r="F335" s="19" t="n"/>
      <c r="G335" s="18" t="n"/>
      <c r="H335">
        <f>IF(OR($E335="Raudt",$E335="Rødt",$E335="Raud",$E335="Rød"),3,IF($E335="Gult",2,IF(OR($E335="Grønt",$E335="Grøn",$E335="Grønn"),1,0)))</f>
        <v/>
      </c>
      <c r="I335">
        <f>IF(AND($C335&lt;&gt;"",$A335='Oversikt'!$C$4,$B335='Oversikt'!$C$5,$C335='Elevkort'!$C$4),MAX(I$1:I334)+1,"")</f>
        <v/>
      </c>
    </row>
    <row r="336" ht="20" customHeight="1">
      <c r="A336" s="18" t="n"/>
      <c r="B336" s="18" t="n"/>
      <c r="C336" s="18" t="n"/>
      <c r="D336" s="18" t="n"/>
      <c r="E336" s="18" t="n"/>
      <c r="F336" s="19" t="n"/>
      <c r="G336" s="18" t="n"/>
      <c r="H336">
        <f>IF(OR($E336="Raudt",$E336="Rødt",$E336="Raud",$E336="Rød"),3,IF($E336="Gult",2,IF(OR($E336="Grønt",$E336="Grøn",$E336="Grønn"),1,0)))</f>
        <v/>
      </c>
      <c r="I336">
        <f>IF(AND($C336&lt;&gt;"",$A336='Oversikt'!$C$4,$B336='Oversikt'!$C$5,$C336='Elevkort'!$C$4),MAX(I$1:I335)+1,"")</f>
        <v/>
      </c>
    </row>
    <row r="337" ht="20" customHeight="1">
      <c r="A337" s="18" t="n"/>
      <c r="B337" s="18" t="n"/>
      <c r="C337" s="18" t="n"/>
      <c r="D337" s="18" t="n"/>
      <c r="E337" s="18" t="n"/>
      <c r="F337" s="19" t="n"/>
      <c r="G337" s="18" t="n"/>
      <c r="H337">
        <f>IF(OR($E337="Raudt",$E337="Rødt",$E337="Raud",$E337="Rød"),3,IF($E337="Gult",2,IF(OR($E337="Grønt",$E337="Grøn",$E337="Grønn"),1,0)))</f>
        <v/>
      </c>
      <c r="I337">
        <f>IF(AND($C337&lt;&gt;"",$A337='Oversikt'!$C$4,$B337='Oversikt'!$C$5,$C337='Elevkort'!$C$4),MAX(I$1:I336)+1,"")</f>
        <v/>
      </c>
    </row>
    <row r="338" ht="20" customHeight="1">
      <c r="A338" s="18" t="n"/>
      <c r="B338" s="18" t="n"/>
      <c r="C338" s="18" t="n"/>
      <c r="D338" s="18" t="n"/>
      <c r="E338" s="18" t="n"/>
      <c r="F338" s="19" t="n"/>
      <c r="G338" s="18" t="n"/>
      <c r="H338">
        <f>IF(OR($E338="Raudt",$E338="Rødt",$E338="Raud",$E338="Rød"),3,IF($E338="Gult",2,IF(OR($E338="Grønt",$E338="Grøn",$E338="Grønn"),1,0)))</f>
        <v/>
      </c>
      <c r="I338">
        <f>IF(AND($C338&lt;&gt;"",$A338='Oversikt'!$C$4,$B338='Oversikt'!$C$5,$C338='Elevkort'!$C$4),MAX(I$1:I337)+1,"")</f>
        <v/>
      </c>
    </row>
    <row r="339" ht="20" customHeight="1">
      <c r="A339" s="18" t="n"/>
      <c r="B339" s="18" t="n"/>
      <c r="C339" s="18" t="n"/>
      <c r="D339" s="18" t="n"/>
      <c r="E339" s="18" t="n"/>
      <c r="F339" s="19" t="n"/>
      <c r="G339" s="18" t="n"/>
      <c r="H339">
        <f>IF(OR($E339="Raudt",$E339="Rødt",$E339="Raud",$E339="Rød"),3,IF($E339="Gult",2,IF(OR($E339="Grønt",$E339="Grøn",$E339="Grønn"),1,0)))</f>
        <v/>
      </c>
      <c r="I339">
        <f>IF(AND($C339&lt;&gt;"",$A339='Oversikt'!$C$4,$B339='Oversikt'!$C$5,$C339='Elevkort'!$C$4),MAX(I$1:I338)+1,"")</f>
        <v/>
      </c>
    </row>
    <row r="340" ht="20" customHeight="1">
      <c r="A340" s="18" t="n"/>
      <c r="B340" s="18" t="n"/>
      <c r="C340" s="18" t="n"/>
      <c r="D340" s="18" t="n"/>
      <c r="E340" s="18" t="n"/>
      <c r="F340" s="19" t="n"/>
      <c r="G340" s="18" t="n"/>
      <c r="H340">
        <f>IF(OR($E340="Raudt",$E340="Rødt",$E340="Raud",$E340="Rød"),3,IF($E340="Gult",2,IF(OR($E340="Grønt",$E340="Grøn",$E340="Grønn"),1,0)))</f>
        <v/>
      </c>
      <c r="I340">
        <f>IF(AND($C340&lt;&gt;"",$A340='Oversikt'!$C$4,$B340='Oversikt'!$C$5,$C340='Elevkort'!$C$4),MAX(I$1:I339)+1,"")</f>
        <v/>
      </c>
    </row>
    <row r="341" ht="20" customHeight="1">
      <c r="A341" s="18" t="n"/>
      <c r="B341" s="18" t="n"/>
      <c r="C341" s="18" t="n"/>
      <c r="D341" s="18" t="n"/>
      <c r="E341" s="18" t="n"/>
      <c r="F341" s="19" t="n"/>
      <c r="G341" s="18" t="n"/>
      <c r="H341">
        <f>IF(OR($E341="Raudt",$E341="Rødt",$E341="Raud",$E341="Rød"),3,IF($E341="Gult",2,IF(OR($E341="Grønt",$E341="Grøn",$E341="Grønn"),1,0)))</f>
        <v/>
      </c>
      <c r="I341">
        <f>IF(AND($C341&lt;&gt;"",$A341='Oversikt'!$C$4,$B341='Oversikt'!$C$5,$C341='Elevkort'!$C$4),MAX(I$1:I340)+1,"")</f>
        <v/>
      </c>
    </row>
    <row r="342" ht="20" customHeight="1">
      <c r="A342" s="18" t="n"/>
      <c r="B342" s="18" t="n"/>
      <c r="C342" s="18" t="n"/>
      <c r="D342" s="18" t="n"/>
      <c r="E342" s="18" t="n"/>
      <c r="F342" s="19" t="n"/>
      <c r="G342" s="18" t="n"/>
      <c r="H342">
        <f>IF(OR($E342="Raudt",$E342="Rødt",$E342="Raud",$E342="Rød"),3,IF($E342="Gult",2,IF(OR($E342="Grønt",$E342="Grøn",$E342="Grønn"),1,0)))</f>
        <v/>
      </c>
      <c r="I342">
        <f>IF(AND($C342&lt;&gt;"",$A342='Oversikt'!$C$4,$B342='Oversikt'!$C$5,$C342='Elevkort'!$C$4),MAX(I$1:I341)+1,"")</f>
        <v/>
      </c>
    </row>
    <row r="343" ht="20" customHeight="1">
      <c r="A343" s="18" t="n"/>
      <c r="B343" s="18" t="n"/>
      <c r="C343" s="18" t="n"/>
      <c r="D343" s="18" t="n"/>
      <c r="E343" s="18" t="n"/>
      <c r="F343" s="19" t="n"/>
      <c r="G343" s="18" t="n"/>
      <c r="H343">
        <f>IF(OR($E343="Raudt",$E343="Rødt",$E343="Raud",$E343="Rød"),3,IF($E343="Gult",2,IF(OR($E343="Grønt",$E343="Grøn",$E343="Grønn"),1,0)))</f>
        <v/>
      </c>
      <c r="I343">
        <f>IF(AND($C343&lt;&gt;"",$A343='Oversikt'!$C$4,$B343='Oversikt'!$C$5,$C343='Elevkort'!$C$4),MAX(I$1:I342)+1,"")</f>
        <v/>
      </c>
    </row>
    <row r="344" ht="20" customHeight="1">
      <c r="A344" s="18" t="n"/>
      <c r="B344" s="18" t="n"/>
      <c r="C344" s="18" t="n"/>
      <c r="D344" s="18" t="n"/>
      <c r="E344" s="18" t="n"/>
      <c r="F344" s="19" t="n"/>
      <c r="G344" s="18" t="n"/>
      <c r="H344">
        <f>IF(OR($E344="Raudt",$E344="Rødt",$E344="Raud",$E344="Rød"),3,IF($E344="Gult",2,IF(OR($E344="Grønt",$E344="Grøn",$E344="Grønn"),1,0)))</f>
        <v/>
      </c>
      <c r="I344">
        <f>IF(AND($C344&lt;&gt;"",$A344='Oversikt'!$C$4,$B344='Oversikt'!$C$5,$C344='Elevkort'!$C$4),MAX(I$1:I343)+1,"")</f>
        <v/>
      </c>
    </row>
    <row r="345" ht="20" customHeight="1">
      <c r="A345" s="18" t="n"/>
      <c r="B345" s="18" t="n"/>
      <c r="C345" s="18" t="n"/>
      <c r="D345" s="18" t="n"/>
      <c r="E345" s="18" t="n"/>
      <c r="F345" s="19" t="n"/>
      <c r="G345" s="18" t="n"/>
      <c r="H345">
        <f>IF(OR($E345="Raudt",$E345="Rødt",$E345="Raud",$E345="Rød"),3,IF($E345="Gult",2,IF(OR($E345="Grønt",$E345="Grøn",$E345="Grønn"),1,0)))</f>
        <v/>
      </c>
      <c r="I345">
        <f>IF(AND($C345&lt;&gt;"",$A345='Oversikt'!$C$4,$B345='Oversikt'!$C$5,$C345='Elevkort'!$C$4),MAX(I$1:I344)+1,"")</f>
        <v/>
      </c>
    </row>
    <row r="346" ht="20" customHeight="1">
      <c r="A346" s="18" t="n"/>
      <c r="B346" s="18" t="n"/>
      <c r="C346" s="18" t="n"/>
      <c r="D346" s="18" t="n"/>
      <c r="E346" s="18" t="n"/>
      <c r="F346" s="19" t="n"/>
      <c r="G346" s="18" t="n"/>
      <c r="H346">
        <f>IF(OR($E346="Raudt",$E346="Rødt",$E346="Raud",$E346="Rød"),3,IF($E346="Gult",2,IF(OR($E346="Grønt",$E346="Grøn",$E346="Grønn"),1,0)))</f>
        <v/>
      </c>
      <c r="I346">
        <f>IF(AND($C346&lt;&gt;"",$A346='Oversikt'!$C$4,$B346='Oversikt'!$C$5,$C346='Elevkort'!$C$4),MAX(I$1:I345)+1,"")</f>
        <v/>
      </c>
    </row>
    <row r="347" ht="20" customHeight="1">
      <c r="A347" s="18" t="n"/>
      <c r="B347" s="18" t="n"/>
      <c r="C347" s="18" t="n"/>
      <c r="D347" s="18" t="n"/>
      <c r="E347" s="18" t="n"/>
      <c r="F347" s="19" t="n"/>
      <c r="G347" s="18" t="n"/>
      <c r="H347">
        <f>IF(OR($E347="Raudt",$E347="Rødt",$E347="Raud",$E347="Rød"),3,IF($E347="Gult",2,IF(OR($E347="Grønt",$E347="Grøn",$E347="Grønn"),1,0)))</f>
        <v/>
      </c>
      <c r="I347">
        <f>IF(AND($C347&lt;&gt;"",$A347='Oversikt'!$C$4,$B347='Oversikt'!$C$5,$C347='Elevkort'!$C$4),MAX(I$1:I346)+1,"")</f>
        <v/>
      </c>
    </row>
    <row r="348" ht="20" customHeight="1">
      <c r="A348" s="18" t="n"/>
      <c r="B348" s="18" t="n"/>
      <c r="C348" s="18" t="n"/>
      <c r="D348" s="18" t="n"/>
      <c r="E348" s="18" t="n"/>
      <c r="F348" s="19" t="n"/>
      <c r="G348" s="18" t="n"/>
      <c r="H348">
        <f>IF(OR($E348="Raudt",$E348="Rødt",$E348="Raud",$E348="Rød"),3,IF($E348="Gult",2,IF(OR($E348="Grønt",$E348="Grøn",$E348="Grønn"),1,0)))</f>
        <v/>
      </c>
      <c r="I348">
        <f>IF(AND($C348&lt;&gt;"",$A348='Oversikt'!$C$4,$B348='Oversikt'!$C$5,$C348='Elevkort'!$C$4),MAX(I$1:I347)+1,"")</f>
        <v/>
      </c>
    </row>
    <row r="349" ht="20" customHeight="1">
      <c r="A349" s="18" t="n"/>
      <c r="B349" s="18" t="n"/>
      <c r="C349" s="18" t="n"/>
      <c r="D349" s="18" t="n"/>
      <c r="E349" s="18" t="n"/>
      <c r="F349" s="19" t="n"/>
      <c r="G349" s="18" t="n"/>
      <c r="H349">
        <f>IF(OR($E349="Raudt",$E349="Rødt",$E349="Raud",$E349="Rød"),3,IF($E349="Gult",2,IF(OR($E349="Grønt",$E349="Grøn",$E349="Grønn"),1,0)))</f>
        <v/>
      </c>
      <c r="I349">
        <f>IF(AND($C349&lt;&gt;"",$A349='Oversikt'!$C$4,$B349='Oversikt'!$C$5,$C349='Elevkort'!$C$4),MAX(I$1:I348)+1,"")</f>
        <v/>
      </c>
    </row>
    <row r="350" ht="20" customHeight="1">
      <c r="A350" s="18" t="n"/>
      <c r="B350" s="18" t="n"/>
      <c r="C350" s="18" t="n"/>
      <c r="D350" s="18" t="n"/>
      <c r="E350" s="18" t="n"/>
      <c r="F350" s="19" t="n"/>
      <c r="G350" s="18" t="n"/>
      <c r="H350">
        <f>IF(OR($E350="Raudt",$E350="Rødt",$E350="Raud",$E350="Rød"),3,IF($E350="Gult",2,IF(OR($E350="Grønt",$E350="Grøn",$E350="Grønn"),1,0)))</f>
        <v/>
      </c>
      <c r="I350">
        <f>IF(AND($C350&lt;&gt;"",$A350='Oversikt'!$C$4,$B350='Oversikt'!$C$5,$C350='Elevkort'!$C$4),MAX(I$1:I349)+1,"")</f>
        <v/>
      </c>
    </row>
    <row r="351" ht="20" customHeight="1">
      <c r="A351" s="18" t="n"/>
      <c r="B351" s="18" t="n"/>
      <c r="C351" s="18" t="n"/>
      <c r="D351" s="18" t="n"/>
      <c r="E351" s="18" t="n"/>
      <c r="F351" s="19" t="n"/>
      <c r="G351" s="18" t="n"/>
      <c r="H351">
        <f>IF(OR($E351="Raudt",$E351="Rødt",$E351="Raud",$E351="Rød"),3,IF($E351="Gult",2,IF(OR($E351="Grønt",$E351="Grøn",$E351="Grønn"),1,0)))</f>
        <v/>
      </c>
      <c r="I351">
        <f>IF(AND($C351&lt;&gt;"",$A351='Oversikt'!$C$4,$B351='Oversikt'!$C$5,$C351='Elevkort'!$C$4),MAX(I$1:I350)+1,"")</f>
        <v/>
      </c>
    </row>
    <row r="352" ht="20" customHeight="1">
      <c r="A352" s="18" t="n"/>
      <c r="B352" s="18" t="n"/>
      <c r="C352" s="18" t="n"/>
      <c r="D352" s="18" t="n"/>
      <c r="E352" s="18" t="n"/>
      <c r="F352" s="19" t="n"/>
      <c r="G352" s="18" t="n"/>
      <c r="H352">
        <f>IF(OR($E352="Raudt",$E352="Rødt",$E352="Raud",$E352="Rød"),3,IF($E352="Gult",2,IF(OR($E352="Grønt",$E352="Grøn",$E352="Grønn"),1,0)))</f>
        <v/>
      </c>
      <c r="I352">
        <f>IF(AND($C352&lt;&gt;"",$A352='Oversikt'!$C$4,$B352='Oversikt'!$C$5,$C352='Elevkort'!$C$4),MAX(I$1:I351)+1,"")</f>
        <v/>
      </c>
    </row>
    <row r="353" ht="20" customHeight="1">
      <c r="A353" s="18" t="n"/>
      <c r="B353" s="18" t="n"/>
      <c r="C353" s="18" t="n"/>
      <c r="D353" s="18" t="n"/>
      <c r="E353" s="18" t="n"/>
      <c r="F353" s="19" t="n"/>
      <c r="G353" s="18" t="n"/>
      <c r="H353">
        <f>IF(OR($E353="Raudt",$E353="Rødt",$E353="Raud",$E353="Rød"),3,IF($E353="Gult",2,IF(OR($E353="Grønt",$E353="Grøn",$E353="Grønn"),1,0)))</f>
        <v/>
      </c>
      <c r="I353">
        <f>IF(AND($C353&lt;&gt;"",$A353='Oversikt'!$C$4,$B353='Oversikt'!$C$5,$C353='Elevkort'!$C$4),MAX(I$1:I352)+1,"")</f>
        <v/>
      </c>
    </row>
    <row r="354" ht="20" customHeight="1">
      <c r="A354" s="18" t="n"/>
      <c r="B354" s="18" t="n"/>
      <c r="C354" s="18" t="n"/>
      <c r="D354" s="18" t="n"/>
      <c r="E354" s="18" t="n"/>
      <c r="F354" s="19" t="n"/>
      <c r="G354" s="18" t="n"/>
      <c r="H354">
        <f>IF(OR($E354="Raudt",$E354="Rødt",$E354="Raud",$E354="Rød"),3,IF($E354="Gult",2,IF(OR($E354="Grønt",$E354="Grøn",$E354="Grønn"),1,0)))</f>
        <v/>
      </c>
      <c r="I354">
        <f>IF(AND($C354&lt;&gt;"",$A354='Oversikt'!$C$4,$B354='Oversikt'!$C$5,$C354='Elevkort'!$C$4),MAX(I$1:I353)+1,"")</f>
        <v/>
      </c>
    </row>
    <row r="355" ht="20" customHeight="1">
      <c r="A355" s="18" t="n"/>
      <c r="B355" s="18" t="n"/>
      <c r="C355" s="18" t="n"/>
      <c r="D355" s="18" t="n"/>
      <c r="E355" s="18" t="n"/>
      <c r="F355" s="19" t="n"/>
      <c r="G355" s="18" t="n"/>
      <c r="H355">
        <f>IF(OR($E355="Raudt",$E355="Rødt",$E355="Raud",$E355="Rød"),3,IF($E355="Gult",2,IF(OR($E355="Grønt",$E355="Grøn",$E355="Grønn"),1,0)))</f>
        <v/>
      </c>
      <c r="I355">
        <f>IF(AND($C355&lt;&gt;"",$A355='Oversikt'!$C$4,$B355='Oversikt'!$C$5,$C355='Elevkort'!$C$4),MAX(I$1:I354)+1,"")</f>
        <v/>
      </c>
    </row>
    <row r="356" ht="20" customHeight="1">
      <c r="A356" s="18" t="n"/>
      <c r="B356" s="18" t="n"/>
      <c r="C356" s="18" t="n"/>
      <c r="D356" s="18" t="n"/>
      <c r="E356" s="18" t="n"/>
      <c r="F356" s="19" t="n"/>
      <c r="G356" s="18" t="n"/>
      <c r="H356">
        <f>IF(OR($E356="Raudt",$E356="Rødt",$E356="Raud",$E356="Rød"),3,IF($E356="Gult",2,IF(OR($E356="Grønt",$E356="Grøn",$E356="Grønn"),1,0)))</f>
        <v/>
      </c>
      <c r="I356">
        <f>IF(AND($C356&lt;&gt;"",$A356='Oversikt'!$C$4,$B356='Oversikt'!$C$5,$C356='Elevkort'!$C$4),MAX(I$1:I355)+1,"")</f>
        <v/>
      </c>
    </row>
    <row r="357" ht="20" customHeight="1">
      <c r="A357" s="18" t="n"/>
      <c r="B357" s="18" t="n"/>
      <c r="C357" s="18" t="n"/>
      <c r="D357" s="18" t="n"/>
      <c r="E357" s="18" t="n"/>
      <c r="F357" s="19" t="n"/>
      <c r="G357" s="18" t="n"/>
      <c r="H357">
        <f>IF(OR($E357="Raudt",$E357="Rødt",$E357="Raud",$E357="Rød"),3,IF($E357="Gult",2,IF(OR($E357="Grønt",$E357="Grøn",$E357="Grønn"),1,0)))</f>
        <v/>
      </c>
      <c r="I357">
        <f>IF(AND($C357&lt;&gt;"",$A357='Oversikt'!$C$4,$B357='Oversikt'!$C$5,$C357='Elevkort'!$C$4),MAX(I$1:I356)+1,"")</f>
        <v/>
      </c>
    </row>
    <row r="358" ht="20" customHeight="1">
      <c r="A358" s="18" t="n"/>
      <c r="B358" s="18" t="n"/>
      <c r="C358" s="18" t="n"/>
      <c r="D358" s="18" t="n"/>
      <c r="E358" s="18" t="n"/>
      <c r="F358" s="19" t="n"/>
      <c r="G358" s="18" t="n"/>
      <c r="H358">
        <f>IF(OR($E358="Raudt",$E358="Rødt",$E358="Raud",$E358="Rød"),3,IF($E358="Gult",2,IF(OR($E358="Grønt",$E358="Grøn",$E358="Grønn"),1,0)))</f>
        <v/>
      </c>
      <c r="I358">
        <f>IF(AND($C358&lt;&gt;"",$A358='Oversikt'!$C$4,$B358='Oversikt'!$C$5,$C358='Elevkort'!$C$4),MAX(I$1:I357)+1,"")</f>
        <v/>
      </c>
    </row>
    <row r="359" ht="20" customHeight="1">
      <c r="A359" s="18" t="n"/>
      <c r="B359" s="18" t="n"/>
      <c r="C359" s="18" t="n"/>
      <c r="D359" s="18" t="n"/>
      <c r="E359" s="18" t="n"/>
      <c r="F359" s="19" t="n"/>
      <c r="G359" s="18" t="n"/>
      <c r="H359">
        <f>IF(OR($E359="Raudt",$E359="Rødt",$E359="Raud",$E359="Rød"),3,IF($E359="Gult",2,IF(OR($E359="Grønt",$E359="Grøn",$E359="Grønn"),1,0)))</f>
        <v/>
      </c>
      <c r="I359">
        <f>IF(AND($C359&lt;&gt;"",$A359='Oversikt'!$C$4,$B359='Oversikt'!$C$5,$C359='Elevkort'!$C$4),MAX(I$1:I358)+1,"")</f>
        <v/>
      </c>
    </row>
    <row r="360" ht="20" customHeight="1">
      <c r="A360" s="18" t="n"/>
      <c r="B360" s="18" t="n"/>
      <c r="C360" s="18" t="n"/>
      <c r="D360" s="18" t="n"/>
      <c r="E360" s="18" t="n"/>
      <c r="F360" s="19" t="n"/>
      <c r="G360" s="18" t="n"/>
      <c r="H360">
        <f>IF(OR($E360="Raudt",$E360="Rødt",$E360="Raud",$E360="Rød"),3,IF($E360="Gult",2,IF(OR($E360="Grønt",$E360="Grøn",$E360="Grønn"),1,0)))</f>
        <v/>
      </c>
      <c r="I360">
        <f>IF(AND($C360&lt;&gt;"",$A360='Oversikt'!$C$4,$B360='Oversikt'!$C$5,$C360='Elevkort'!$C$4),MAX(I$1:I359)+1,"")</f>
        <v/>
      </c>
    </row>
    <row r="361" ht="20" customHeight="1">
      <c r="A361" s="18" t="n"/>
      <c r="B361" s="18" t="n"/>
      <c r="C361" s="18" t="n"/>
      <c r="D361" s="18" t="n"/>
      <c r="E361" s="18" t="n"/>
      <c r="F361" s="19" t="n"/>
      <c r="G361" s="18" t="n"/>
      <c r="H361">
        <f>IF(OR($E361="Raudt",$E361="Rødt",$E361="Raud",$E361="Rød"),3,IF($E361="Gult",2,IF(OR($E361="Grønt",$E361="Grøn",$E361="Grønn"),1,0)))</f>
        <v/>
      </c>
      <c r="I361">
        <f>IF(AND($C361&lt;&gt;"",$A361='Oversikt'!$C$4,$B361='Oversikt'!$C$5,$C361='Elevkort'!$C$4),MAX(I$1:I360)+1,"")</f>
        <v/>
      </c>
    </row>
    <row r="362" ht="20" customHeight="1">
      <c r="A362" s="18" t="n"/>
      <c r="B362" s="18" t="n"/>
      <c r="C362" s="18" t="n"/>
      <c r="D362" s="18" t="n"/>
      <c r="E362" s="18" t="n"/>
      <c r="F362" s="19" t="n"/>
      <c r="G362" s="18" t="n"/>
      <c r="H362">
        <f>IF(OR($E362="Raudt",$E362="Rødt",$E362="Raud",$E362="Rød"),3,IF($E362="Gult",2,IF(OR($E362="Grønt",$E362="Grøn",$E362="Grønn"),1,0)))</f>
        <v/>
      </c>
      <c r="I362">
        <f>IF(AND($C362&lt;&gt;"",$A362='Oversikt'!$C$4,$B362='Oversikt'!$C$5,$C362='Elevkort'!$C$4),MAX(I$1:I361)+1,"")</f>
        <v/>
      </c>
    </row>
    <row r="363" ht="20" customHeight="1">
      <c r="A363" s="18" t="n"/>
      <c r="B363" s="18" t="n"/>
      <c r="C363" s="18" t="n"/>
      <c r="D363" s="18" t="n"/>
      <c r="E363" s="18" t="n"/>
      <c r="F363" s="19" t="n"/>
      <c r="G363" s="18" t="n"/>
      <c r="H363">
        <f>IF(OR($E363="Raudt",$E363="Rødt",$E363="Raud",$E363="Rød"),3,IF($E363="Gult",2,IF(OR($E363="Grønt",$E363="Grøn",$E363="Grønn"),1,0)))</f>
        <v/>
      </c>
      <c r="I363">
        <f>IF(AND($C363&lt;&gt;"",$A363='Oversikt'!$C$4,$B363='Oversikt'!$C$5,$C363='Elevkort'!$C$4),MAX(I$1:I362)+1,"")</f>
        <v/>
      </c>
    </row>
    <row r="364" ht="20" customHeight="1">
      <c r="A364" s="18" t="n"/>
      <c r="B364" s="18" t="n"/>
      <c r="C364" s="18" t="n"/>
      <c r="D364" s="18" t="n"/>
      <c r="E364" s="18" t="n"/>
      <c r="F364" s="19" t="n"/>
      <c r="G364" s="18" t="n"/>
      <c r="H364">
        <f>IF(OR($E364="Raudt",$E364="Rødt",$E364="Raud",$E364="Rød"),3,IF($E364="Gult",2,IF(OR($E364="Grønt",$E364="Grøn",$E364="Grønn"),1,0)))</f>
        <v/>
      </c>
      <c r="I364">
        <f>IF(AND($C364&lt;&gt;"",$A364='Oversikt'!$C$4,$B364='Oversikt'!$C$5,$C364='Elevkort'!$C$4),MAX(I$1:I363)+1,"")</f>
        <v/>
      </c>
    </row>
    <row r="365" ht="20" customHeight="1">
      <c r="A365" s="18" t="n"/>
      <c r="B365" s="18" t="n"/>
      <c r="C365" s="18" t="n"/>
      <c r="D365" s="18" t="n"/>
      <c r="E365" s="18" t="n"/>
      <c r="F365" s="19" t="n"/>
      <c r="G365" s="18" t="n"/>
      <c r="H365">
        <f>IF(OR($E365="Raudt",$E365="Rødt",$E365="Raud",$E365="Rød"),3,IF($E365="Gult",2,IF(OR($E365="Grønt",$E365="Grøn",$E365="Grønn"),1,0)))</f>
        <v/>
      </c>
      <c r="I365">
        <f>IF(AND($C365&lt;&gt;"",$A365='Oversikt'!$C$4,$B365='Oversikt'!$C$5,$C365='Elevkort'!$C$4),MAX(I$1:I364)+1,"")</f>
        <v/>
      </c>
    </row>
    <row r="366" ht="20" customHeight="1">
      <c r="A366" s="18" t="n"/>
      <c r="B366" s="18" t="n"/>
      <c r="C366" s="18" t="n"/>
      <c r="D366" s="18" t="n"/>
      <c r="E366" s="18" t="n"/>
      <c r="F366" s="19" t="n"/>
      <c r="G366" s="18" t="n"/>
      <c r="H366">
        <f>IF(OR($E366="Raudt",$E366="Rødt",$E366="Raud",$E366="Rød"),3,IF($E366="Gult",2,IF(OR($E366="Grønt",$E366="Grøn",$E366="Grønn"),1,0)))</f>
        <v/>
      </c>
      <c r="I366">
        <f>IF(AND($C366&lt;&gt;"",$A366='Oversikt'!$C$4,$B366='Oversikt'!$C$5,$C366='Elevkort'!$C$4),MAX(I$1:I365)+1,"")</f>
        <v/>
      </c>
    </row>
    <row r="367" ht="20" customHeight="1">
      <c r="A367" s="18" t="n"/>
      <c r="B367" s="18" t="n"/>
      <c r="C367" s="18" t="n"/>
      <c r="D367" s="18" t="n"/>
      <c r="E367" s="18" t="n"/>
      <c r="F367" s="19" t="n"/>
      <c r="G367" s="18" t="n"/>
      <c r="H367">
        <f>IF(OR($E367="Raudt",$E367="Rødt",$E367="Raud",$E367="Rød"),3,IF($E367="Gult",2,IF(OR($E367="Grønt",$E367="Grøn",$E367="Grønn"),1,0)))</f>
        <v/>
      </c>
      <c r="I367">
        <f>IF(AND($C367&lt;&gt;"",$A367='Oversikt'!$C$4,$B367='Oversikt'!$C$5,$C367='Elevkort'!$C$4),MAX(I$1:I366)+1,"")</f>
        <v/>
      </c>
    </row>
    <row r="368" ht="20" customHeight="1">
      <c r="A368" s="18" t="n"/>
      <c r="B368" s="18" t="n"/>
      <c r="C368" s="18" t="n"/>
      <c r="D368" s="18" t="n"/>
      <c r="E368" s="18" t="n"/>
      <c r="F368" s="19" t="n"/>
      <c r="G368" s="18" t="n"/>
      <c r="H368">
        <f>IF(OR($E368="Raudt",$E368="Rødt",$E368="Raud",$E368="Rød"),3,IF($E368="Gult",2,IF(OR($E368="Grønt",$E368="Grøn",$E368="Grønn"),1,0)))</f>
        <v/>
      </c>
      <c r="I368">
        <f>IF(AND($C368&lt;&gt;"",$A368='Oversikt'!$C$4,$B368='Oversikt'!$C$5,$C368='Elevkort'!$C$4),MAX(I$1:I367)+1,"")</f>
        <v/>
      </c>
    </row>
    <row r="369" ht="20" customHeight="1">
      <c r="A369" s="18" t="n"/>
      <c r="B369" s="18" t="n"/>
      <c r="C369" s="18" t="n"/>
      <c r="D369" s="18" t="n"/>
      <c r="E369" s="18" t="n"/>
      <c r="F369" s="19" t="n"/>
      <c r="G369" s="18" t="n"/>
      <c r="H369">
        <f>IF(OR($E369="Raudt",$E369="Rødt",$E369="Raud",$E369="Rød"),3,IF($E369="Gult",2,IF(OR($E369="Grønt",$E369="Grøn",$E369="Grønn"),1,0)))</f>
        <v/>
      </c>
      <c r="I369">
        <f>IF(AND($C369&lt;&gt;"",$A369='Oversikt'!$C$4,$B369='Oversikt'!$C$5,$C369='Elevkort'!$C$4),MAX(I$1:I368)+1,"")</f>
        <v/>
      </c>
    </row>
    <row r="370" ht="20" customHeight="1">
      <c r="A370" s="18" t="n"/>
      <c r="B370" s="18" t="n"/>
      <c r="C370" s="18" t="n"/>
      <c r="D370" s="18" t="n"/>
      <c r="E370" s="18" t="n"/>
      <c r="F370" s="19" t="n"/>
      <c r="G370" s="18" t="n"/>
      <c r="H370">
        <f>IF(OR($E370="Raudt",$E370="Rødt",$E370="Raud",$E370="Rød"),3,IF($E370="Gult",2,IF(OR($E370="Grønt",$E370="Grøn",$E370="Grønn"),1,0)))</f>
        <v/>
      </c>
      <c r="I370">
        <f>IF(AND($C370&lt;&gt;"",$A370='Oversikt'!$C$4,$B370='Oversikt'!$C$5,$C370='Elevkort'!$C$4),MAX(I$1:I369)+1,"")</f>
        <v/>
      </c>
    </row>
    <row r="371" ht="20" customHeight="1">
      <c r="A371" s="18" t="n"/>
      <c r="B371" s="18" t="n"/>
      <c r="C371" s="18" t="n"/>
      <c r="D371" s="18" t="n"/>
      <c r="E371" s="18" t="n"/>
      <c r="F371" s="19" t="n"/>
      <c r="G371" s="18" t="n"/>
      <c r="H371">
        <f>IF(OR($E371="Raudt",$E371="Rødt",$E371="Raud",$E371="Rød"),3,IF($E371="Gult",2,IF(OR($E371="Grønt",$E371="Grøn",$E371="Grønn"),1,0)))</f>
        <v/>
      </c>
      <c r="I371">
        <f>IF(AND($C371&lt;&gt;"",$A371='Oversikt'!$C$4,$B371='Oversikt'!$C$5,$C371='Elevkort'!$C$4),MAX(I$1:I370)+1,"")</f>
        <v/>
      </c>
    </row>
    <row r="372" ht="20" customHeight="1">
      <c r="A372" s="18" t="n"/>
      <c r="B372" s="18" t="n"/>
      <c r="C372" s="18" t="n"/>
      <c r="D372" s="18" t="n"/>
      <c r="E372" s="18" t="n"/>
      <c r="F372" s="19" t="n"/>
      <c r="G372" s="18" t="n"/>
      <c r="H372">
        <f>IF(OR($E372="Raudt",$E372="Rødt",$E372="Raud",$E372="Rød"),3,IF($E372="Gult",2,IF(OR($E372="Grønt",$E372="Grøn",$E372="Grønn"),1,0)))</f>
        <v/>
      </c>
      <c r="I372">
        <f>IF(AND($C372&lt;&gt;"",$A372='Oversikt'!$C$4,$B372='Oversikt'!$C$5,$C372='Elevkort'!$C$4),MAX(I$1:I371)+1,"")</f>
        <v/>
      </c>
    </row>
    <row r="373" ht="20" customHeight="1">
      <c r="A373" s="18" t="n"/>
      <c r="B373" s="18" t="n"/>
      <c r="C373" s="18" t="n"/>
      <c r="D373" s="18" t="n"/>
      <c r="E373" s="18" t="n"/>
      <c r="F373" s="19" t="n"/>
      <c r="G373" s="18" t="n"/>
      <c r="H373">
        <f>IF(OR($E373="Raudt",$E373="Rødt",$E373="Raud",$E373="Rød"),3,IF($E373="Gult",2,IF(OR($E373="Grønt",$E373="Grøn",$E373="Grønn"),1,0)))</f>
        <v/>
      </c>
      <c r="I373">
        <f>IF(AND($C373&lt;&gt;"",$A373='Oversikt'!$C$4,$B373='Oversikt'!$C$5,$C373='Elevkort'!$C$4),MAX(I$1:I372)+1,"")</f>
        <v/>
      </c>
    </row>
    <row r="374" ht="20" customHeight="1">
      <c r="A374" s="18" t="n"/>
      <c r="B374" s="18" t="n"/>
      <c r="C374" s="18" t="n"/>
      <c r="D374" s="18" t="n"/>
      <c r="E374" s="18" t="n"/>
      <c r="F374" s="19" t="n"/>
      <c r="G374" s="18" t="n"/>
      <c r="H374">
        <f>IF(OR($E374="Raudt",$E374="Rødt",$E374="Raud",$E374="Rød"),3,IF($E374="Gult",2,IF(OR($E374="Grønt",$E374="Grøn",$E374="Grønn"),1,0)))</f>
        <v/>
      </c>
      <c r="I374">
        <f>IF(AND($C374&lt;&gt;"",$A374='Oversikt'!$C$4,$B374='Oversikt'!$C$5,$C374='Elevkort'!$C$4),MAX(I$1:I373)+1,"")</f>
        <v/>
      </c>
    </row>
    <row r="375" ht="20" customHeight="1">
      <c r="A375" s="18" t="n"/>
      <c r="B375" s="18" t="n"/>
      <c r="C375" s="18" t="n"/>
      <c r="D375" s="18" t="n"/>
      <c r="E375" s="18" t="n"/>
      <c r="F375" s="19" t="n"/>
      <c r="G375" s="18" t="n"/>
      <c r="H375">
        <f>IF(OR($E375="Raudt",$E375="Rødt",$E375="Raud",$E375="Rød"),3,IF($E375="Gult",2,IF(OR($E375="Grønt",$E375="Grøn",$E375="Grønn"),1,0)))</f>
        <v/>
      </c>
      <c r="I375">
        <f>IF(AND($C375&lt;&gt;"",$A375='Oversikt'!$C$4,$B375='Oversikt'!$C$5,$C375='Elevkort'!$C$4),MAX(I$1:I374)+1,"")</f>
        <v/>
      </c>
    </row>
    <row r="376" ht="20" customHeight="1">
      <c r="A376" s="18" t="n"/>
      <c r="B376" s="18" t="n"/>
      <c r="C376" s="18" t="n"/>
      <c r="D376" s="18" t="n"/>
      <c r="E376" s="18" t="n"/>
      <c r="F376" s="19" t="n"/>
      <c r="G376" s="18" t="n"/>
      <c r="H376">
        <f>IF(OR($E376="Raudt",$E376="Rødt",$E376="Raud",$E376="Rød"),3,IF($E376="Gult",2,IF(OR($E376="Grønt",$E376="Grøn",$E376="Grønn"),1,0)))</f>
        <v/>
      </c>
      <c r="I376">
        <f>IF(AND($C376&lt;&gt;"",$A376='Oversikt'!$C$4,$B376='Oversikt'!$C$5,$C376='Elevkort'!$C$4),MAX(I$1:I375)+1,"")</f>
        <v/>
      </c>
    </row>
    <row r="377" ht="20" customHeight="1">
      <c r="A377" s="18" t="n"/>
      <c r="B377" s="18" t="n"/>
      <c r="C377" s="18" t="n"/>
      <c r="D377" s="18" t="n"/>
      <c r="E377" s="18" t="n"/>
      <c r="F377" s="19" t="n"/>
      <c r="G377" s="18" t="n"/>
      <c r="H377">
        <f>IF(OR($E377="Raudt",$E377="Rødt",$E377="Raud",$E377="Rød"),3,IF($E377="Gult",2,IF(OR($E377="Grønt",$E377="Grøn",$E377="Grønn"),1,0)))</f>
        <v/>
      </c>
      <c r="I377">
        <f>IF(AND($C377&lt;&gt;"",$A377='Oversikt'!$C$4,$B377='Oversikt'!$C$5,$C377='Elevkort'!$C$4),MAX(I$1:I376)+1,"")</f>
        <v/>
      </c>
    </row>
    <row r="378" ht="20" customHeight="1">
      <c r="A378" s="18" t="n"/>
      <c r="B378" s="18" t="n"/>
      <c r="C378" s="18" t="n"/>
      <c r="D378" s="18" t="n"/>
      <c r="E378" s="18" t="n"/>
      <c r="F378" s="19" t="n"/>
      <c r="G378" s="18" t="n"/>
      <c r="H378">
        <f>IF(OR($E378="Raudt",$E378="Rødt",$E378="Raud",$E378="Rød"),3,IF($E378="Gult",2,IF(OR($E378="Grønt",$E378="Grøn",$E378="Grønn"),1,0)))</f>
        <v/>
      </c>
      <c r="I378">
        <f>IF(AND($C378&lt;&gt;"",$A378='Oversikt'!$C$4,$B378='Oversikt'!$C$5,$C378='Elevkort'!$C$4),MAX(I$1:I377)+1,"")</f>
        <v/>
      </c>
    </row>
    <row r="379" ht="20" customHeight="1">
      <c r="A379" s="18" t="n"/>
      <c r="B379" s="18" t="n"/>
      <c r="C379" s="18" t="n"/>
      <c r="D379" s="18" t="n"/>
      <c r="E379" s="18" t="n"/>
      <c r="F379" s="19" t="n"/>
      <c r="G379" s="18" t="n"/>
      <c r="H379">
        <f>IF(OR($E379="Raudt",$E379="Rødt",$E379="Raud",$E379="Rød"),3,IF($E379="Gult",2,IF(OR($E379="Grønt",$E379="Grøn",$E379="Grønn"),1,0)))</f>
        <v/>
      </c>
      <c r="I379">
        <f>IF(AND($C379&lt;&gt;"",$A379='Oversikt'!$C$4,$B379='Oversikt'!$C$5,$C379='Elevkort'!$C$4),MAX(I$1:I378)+1,"")</f>
        <v/>
      </c>
    </row>
    <row r="380" ht="20" customHeight="1">
      <c r="A380" s="18" t="n"/>
      <c r="B380" s="18" t="n"/>
      <c r="C380" s="18" t="n"/>
      <c r="D380" s="18" t="n"/>
      <c r="E380" s="18" t="n"/>
      <c r="F380" s="19" t="n"/>
      <c r="G380" s="18" t="n"/>
      <c r="H380">
        <f>IF(OR($E380="Raudt",$E380="Rødt",$E380="Raud",$E380="Rød"),3,IF($E380="Gult",2,IF(OR($E380="Grønt",$E380="Grøn",$E380="Grønn"),1,0)))</f>
        <v/>
      </c>
      <c r="I380">
        <f>IF(AND($C380&lt;&gt;"",$A380='Oversikt'!$C$4,$B380='Oversikt'!$C$5,$C380='Elevkort'!$C$4),MAX(I$1:I379)+1,"")</f>
        <v/>
      </c>
    </row>
    <row r="381" ht="20" customHeight="1">
      <c r="A381" s="18" t="n"/>
      <c r="B381" s="18" t="n"/>
      <c r="C381" s="18" t="n"/>
      <c r="D381" s="18" t="n"/>
      <c r="E381" s="18" t="n"/>
      <c r="F381" s="19" t="n"/>
      <c r="G381" s="18" t="n"/>
      <c r="H381">
        <f>IF(OR($E381="Raudt",$E381="Rødt",$E381="Raud",$E381="Rød"),3,IF($E381="Gult",2,IF(OR($E381="Grønt",$E381="Grøn",$E381="Grønn"),1,0)))</f>
        <v/>
      </c>
      <c r="I381">
        <f>IF(AND($C381&lt;&gt;"",$A381='Oversikt'!$C$4,$B381='Oversikt'!$C$5,$C381='Elevkort'!$C$4),MAX(I$1:I380)+1,"")</f>
        <v/>
      </c>
    </row>
    <row r="382" ht="20" customHeight="1">
      <c r="A382" s="18" t="n"/>
      <c r="B382" s="18" t="n"/>
      <c r="C382" s="18" t="n"/>
      <c r="D382" s="18" t="n"/>
      <c r="E382" s="18" t="n"/>
      <c r="F382" s="19" t="n"/>
      <c r="G382" s="18" t="n"/>
      <c r="H382">
        <f>IF(OR($E382="Raudt",$E382="Rødt",$E382="Raud",$E382="Rød"),3,IF($E382="Gult",2,IF(OR($E382="Grønt",$E382="Grøn",$E382="Grønn"),1,0)))</f>
        <v/>
      </c>
      <c r="I382">
        <f>IF(AND($C382&lt;&gt;"",$A382='Oversikt'!$C$4,$B382='Oversikt'!$C$5,$C382='Elevkort'!$C$4),MAX(I$1:I381)+1,"")</f>
        <v/>
      </c>
    </row>
    <row r="383" ht="20" customHeight="1">
      <c r="A383" s="18" t="n"/>
      <c r="B383" s="18" t="n"/>
      <c r="C383" s="18" t="n"/>
      <c r="D383" s="18" t="n"/>
      <c r="E383" s="18" t="n"/>
      <c r="F383" s="19" t="n"/>
      <c r="G383" s="18" t="n"/>
      <c r="H383">
        <f>IF(OR($E383="Raudt",$E383="Rødt",$E383="Raud",$E383="Rød"),3,IF($E383="Gult",2,IF(OR($E383="Grønt",$E383="Grøn",$E383="Grønn"),1,0)))</f>
        <v/>
      </c>
      <c r="I383">
        <f>IF(AND($C383&lt;&gt;"",$A383='Oversikt'!$C$4,$B383='Oversikt'!$C$5,$C383='Elevkort'!$C$4),MAX(I$1:I382)+1,"")</f>
        <v/>
      </c>
    </row>
    <row r="384" ht="20" customHeight="1">
      <c r="A384" s="18" t="n"/>
      <c r="B384" s="18" t="n"/>
      <c r="C384" s="18" t="n"/>
      <c r="D384" s="18" t="n"/>
      <c r="E384" s="18" t="n"/>
      <c r="F384" s="19" t="n"/>
      <c r="G384" s="18" t="n"/>
      <c r="H384">
        <f>IF(OR($E384="Raudt",$E384="Rødt",$E384="Raud",$E384="Rød"),3,IF($E384="Gult",2,IF(OR($E384="Grønt",$E384="Grøn",$E384="Grønn"),1,0)))</f>
        <v/>
      </c>
      <c r="I384">
        <f>IF(AND($C384&lt;&gt;"",$A384='Oversikt'!$C$4,$B384='Oversikt'!$C$5,$C384='Elevkort'!$C$4),MAX(I$1:I383)+1,"")</f>
        <v/>
      </c>
    </row>
    <row r="385" ht="20" customHeight="1">
      <c r="A385" s="18" t="n"/>
      <c r="B385" s="18" t="n"/>
      <c r="C385" s="18" t="n"/>
      <c r="D385" s="18" t="n"/>
      <c r="E385" s="18" t="n"/>
      <c r="F385" s="19" t="n"/>
      <c r="G385" s="18" t="n"/>
      <c r="H385">
        <f>IF(OR($E385="Raudt",$E385="Rødt",$E385="Raud",$E385="Rød"),3,IF($E385="Gult",2,IF(OR($E385="Grønt",$E385="Grøn",$E385="Grønn"),1,0)))</f>
        <v/>
      </c>
      <c r="I385">
        <f>IF(AND($C385&lt;&gt;"",$A385='Oversikt'!$C$4,$B385='Oversikt'!$C$5,$C385='Elevkort'!$C$4),MAX(I$1:I384)+1,"")</f>
        <v/>
      </c>
    </row>
    <row r="386" ht="20" customHeight="1">
      <c r="A386" s="18" t="n"/>
      <c r="B386" s="18" t="n"/>
      <c r="C386" s="18" t="n"/>
      <c r="D386" s="18" t="n"/>
      <c r="E386" s="18" t="n"/>
      <c r="F386" s="19" t="n"/>
      <c r="G386" s="18" t="n"/>
      <c r="H386">
        <f>IF(OR($E386="Raudt",$E386="Rødt",$E386="Raud",$E386="Rød"),3,IF($E386="Gult",2,IF(OR($E386="Grønt",$E386="Grøn",$E386="Grønn"),1,0)))</f>
        <v/>
      </c>
      <c r="I386">
        <f>IF(AND($C386&lt;&gt;"",$A386='Oversikt'!$C$4,$B386='Oversikt'!$C$5,$C386='Elevkort'!$C$4),MAX(I$1:I385)+1,"")</f>
        <v/>
      </c>
    </row>
    <row r="387" ht="20" customHeight="1">
      <c r="A387" s="18" t="n"/>
      <c r="B387" s="18" t="n"/>
      <c r="C387" s="18" t="n"/>
      <c r="D387" s="18" t="n"/>
      <c r="E387" s="18" t="n"/>
      <c r="F387" s="19" t="n"/>
      <c r="G387" s="18" t="n"/>
      <c r="H387">
        <f>IF(OR($E387="Raudt",$E387="Rødt",$E387="Raud",$E387="Rød"),3,IF($E387="Gult",2,IF(OR($E387="Grønt",$E387="Grøn",$E387="Grønn"),1,0)))</f>
        <v/>
      </c>
      <c r="I387">
        <f>IF(AND($C387&lt;&gt;"",$A387='Oversikt'!$C$4,$B387='Oversikt'!$C$5,$C387='Elevkort'!$C$4),MAX(I$1:I386)+1,"")</f>
        <v/>
      </c>
    </row>
    <row r="388" ht="20" customHeight="1">
      <c r="A388" s="18" t="n"/>
      <c r="B388" s="18" t="n"/>
      <c r="C388" s="18" t="n"/>
      <c r="D388" s="18" t="n"/>
      <c r="E388" s="18" t="n"/>
      <c r="F388" s="19" t="n"/>
      <c r="G388" s="18" t="n"/>
      <c r="H388">
        <f>IF(OR($E388="Raudt",$E388="Rødt",$E388="Raud",$E388="Rød"),3,IF($E388="Gult",2,IF(OR($E388="Grønt",$E388="Grøn",$E388="Grønn"),1,0)))</f>
        <v/>
      </c>
      <c r="I388">
        <f>IF(AND($C388&lt;&gt;"",$A388='Oversikt'!$C$4,$B388='Oversikt'!$C$5,$C388='Elevkort'!$C$4),MAX(I$1:I387)+1,"")</f>
        <v/>
      </c>
    </row>
    <row r="389" ht="20" customHeight="1">
      <c r="A389" s="18" t="n"/>
      <c r="B389" s="18" t="n"/>
      <c r="C389" s="18" t="n"/>
      <c r="D389" s="18" t="n"/>
      <c r="E389" s="18" t="n"/>
      <c r="F389" s="19" t="n"/>
      <c r="G389" s="18" t="n"/>
      <c r="H389">
        <f>IF(OR($E389="Raudt",$E389="Rødt",$E389="Raud",$E389="Rød"),3,IF($E389="Gult",2,IF(OR($E389="Grønt",$E389="Grøn",$E389="Grønn"),1,0)))</f>
        <v/>
      </c>
      <c r="I389">
        <f>IF(AND($C389&lt;&gt;"",$A389='Oversikt'!$C$4,$B389='Oversikt'!$C$5,$C389='Elevkort'!$C$4),MAX(I$1:I388)+1,"")</f>
        <v/>
      </c>
    </row>
    <row r="390" ht="20" customHeight="1">
      <c r="A390" s="18" t="n"/>
      <c r="B390" s="18" t="n"/>
      <c r="C390" s="18" t="n"/>
      <c r="D390" s="18" t="n"/>
      <c r="E390" s="18" t="n"/>
      <c r="F390" s="19" t="n"/>
      <c r="G390" s="18" t="n"/>
      <c r="H390">
        <f>IF(OR($E390="Raudt",$E390="Rødt",$E390="Raud",$E390="Rød"),3,IF($E390="Gult",2,IF(OR($E390="Grønt",$E390="Grøn",$E390="Grønn"),1,0)))</f>
        <v/>
      </c>
      <c r="I390">
        <f>IF(AND($C390&lt;&gt;"",$A390='Oversikt'!$C$4,$B390='Oversikt'!$C$5,$C390='Elevkort'!$C$4),MAX(I$1:I389)+1,"")</f>
        <v/>
      </c>
    </row>
    <row r="391" ht="20" customHeight="1">
      <c r="A391" s="18" t="n"/>
      <c r="B391" s="18" t="n"/>
      <c r="C391" s="18" t="n"/>
      <c r="D391" s="18" t="n"/>
      <c r="E391" s="18" t="n"/>
      <c r="F391" s="19" t="n"/>
      <c r="G391" s="18" t="n"/>
      <c r="H391">
        <f>IF(OR($E391="Raudt",$E391="Rødt",$E391="Raud",$E391="Rød"),3,IF($E391="Gult",2,IF(OR($E391="Grønt",$E391="Grøn",$E391="Grønn"),1,0)))</f>
        <v/>
      </c>
      <c r="I391">
        <f>IF(AND($C391&lt;&gt;"",$A391='Oversikt'!$C$4,$B391='Oversikt'!$C$5,$C391='Elevkort'!$C$4),MAX(I$1:I390)+1,"")</f>
        <v/>
      </c>
    </row>
    <row r="392" ht="20" customHeight="1">
      <c r="A392" s="18" t="n"/>
      <c r="B392" s="18" t="n"/>
      <c r="C392" s="18" t="n"/>
      <c r="D392" s="18" t="n"/>
      <c r="E392" s="18" t="n"/>
      <c r="F392" s="19" t="n"/>
      <c r="G392" s="18" t="n"/>
      <c r="H392">
        <f>IF(OR($E392="Raudt",$E392="Rødt",$E392="Raud",$E392="Rød"),3,IF($E392="Gult",2,IF(OR($E392="Grønt",$E392="Grøn",$E392="Grønn"),1,0)))</f>
        <v/>
      </c>
      <c r="I392">
        <f>IF(AND($C392&lt;&gt;"",$A392='Oversikt'!$C$4,$B392='Oversikt'!$C$5,$C392='Elevkort'!$C$4),MAX(I$1:I391)+1,"")</f>
        <v/>
      </c>
    </row>
    <row r="393" ht="20" customHeight="1">
      <c r="A393" s="18" t="n"/>
      <c r="B393" s="18" t="n"/>
      <c r="C393" s="18" t="n"/>
      <c r="D393" s="18" t="n"/>
      <c r="E393" s="18" t="n"/>
      <c r="F393" s="19" t="n"/>
      <c r="G393" s="18" t="n"/>
      <c r="H393">
        <f>IF(OR($E393="Raudt",$E393="Rødt",$E393="Raud",$E393="Rød"),3,IF($E393="Gult",2,IF(OR($E393="Grønt",$E393="Grøn",$E393="Grønn"),1,0)))</f>
        <v/>
      </c>
      <c r="I393">
        <f>IF(AND($C393&lt;&gt;"",$A393='Oversikt'!$C$4,$B393='Oversikt'!$C$5,$C393='Elevkort'!$C$4),MAX(I$1:I392)+1,"")</f>
        <v/>
      </c>
    </row>
    <row r="394" ht="20" customHeight="1">
      <c r="A394" s="18" t="n"/>
      <c r="B394" s="18" t="n"/>
      <c r="C394" s="18" t="n"/>
      <c r="D394" s="18" t="n"/>
      <c r="E394" s="18" t="n"/>
      <c r="F394" s="19" t="n"/>
      <c r="G394" s="18" t="n"/>
      <c r="H394">
        <f>IF(OR($E394="Raudt",$E394="Rødt",$E394="Raud",$E394="Rød"),3,IF($E394="Gult",2,IF(OR($E394="Grønt",$E394="Grøn",$E394="Grønn"),1,0)))</f>
        <v/>
      </c>
      <c r="I394">
        <f>IF(AND($C394&lt;&gt;"",$A394='Oversikt'!$C$4,$B394='Oversikt'!$C$5,$C394='Elevkort'!$C$4),MAX(I$1:I393)+1,"")</f>
        <v/>
      </c>
    </row>
    <row r="395" ht="20" customHeight="1">
      <c r="A395" s="18" t="n"/>
      <c r="B395" s="18" t="n"/>
      <c r="C395" s="18" t="n"/>
      <c r="D395" s="18" t="n"/>
      <c r="E395" s="18" t="n"/>
      <c r="F395" s="19" t="n"/>
      <c r="G395" s="18" t="n"/>
      <c r="H395">
        <f>IF(OR($E395="Raudt",$E395="Rødt",$E395="Raud",$E395="Rød"),3,IF($E395="Gult",2,IF(OR($E395="Grønt",$E395="Grøn",$E395="Grønn"),1,0)))</f>
        <v/>
      </c>
      <c r="I395">
        <f>IF(AND($C395&lt;&gt;"",$A395='Oversikt'!$C$4,$B395='Oversikt'!$C$5,$C395='Elevkort'!$C$4),MAX(I$1:I394)+1,"")</f>
        <v/>
      </c>
    </row>
    <row r="396" ht="20" customHeight="1">
      <c r="A396" s="18" t="n"/>
      <c r="B396" s="18" t="n"/>
      <c r="C396" s="18" t="n"/>
      <c r="D396" s="18" t="n"/>
      <c r="E396" s="18" t="n"/>
      <c r="F396" s="19" t="n"/>
      <c r="G396" s="18" t="n"/>
      <c r="H396">
        <f>IF(OR($E396="Raudt",$E396="Rødt",$E396="Raud",$E396="Rød"),3,IF($E396="Gult",2,IF(OR($E396="Grønt",$E396="Grøn",$E396="Grønn"),1,0)))</f>
        <v/>
      </c>
      <c r="I396">
        <f>IF(AND($C396&lt;&gt;"",$A396='Oversikt'!$C$4,$B396='Oversikt'!$C$5,$C396='Elevkort'!$C$4),MAX(I$1:I395)+1,"")</f>
        <v/>
      </c>
    </row>
    <row r="397" ht="20" customHeight="1">
      <c r="A397" s="18" t="n"/>
      <c r="B397" s="18" t="n"/>
      <c r="C397" s="18" t="n"/>
      <c r="D397" s="18" t="n"/>
      <c r="E397" s="18" t="n"/>
      <c r="F397" s="19" t="n"/>
      <c r="G397" s="18" t="n"/>
      <c r="H397">
        <f>IF(OR($E397="Raudt",$E397="Rødt",$E397="Raud",$E397="Rød"),3,IF($E397="Gult",2,IF(OR($E397="Grønt",$E397="Grøn",$E397="Grønn"),1,0)))</f>
        <v/>
      </c>
      <c r="I397">
        <f>IF(AND($C397&lt;&gt;"",$A397='Oversikt'!$C$4,$B397='Oversikt'!$C$5,$C397='Elevkort'!$C$4),MAX(I$1:I396)+1,"")</f>
        <v/>
      </c>
    </row>
    <row r="398" ht="20" customHeight="1">
      <c r="A398" s="18" t="n"/>
      <c r="B398" s="18" t="n"/>
      <c r="C398" s="18" t="n"/>
      <c r="D398" s="18" t="n"/>
      <c r="E398" s="18" t="n"/>
      <c r="F398" s="19" t="n"/>
      <c r="G398" s="18" t="n"/>
      <c r="H398">
        <f>IF(OR($E398="Raudt",$E398="Rødt",$E398="Raud",$E398="Rød"),3,IF($E398="Gult",2,IF(OR($E398="Grønt",$E398="Grøn",$E398="Grønn"),1,0)))</f>
        <v/>
      </c>
      <c r="I398">
        <f>IF(AND($C398&lt;&gt;"",$A398='Oversikt'!$C$4,$B398='Oversikt'!$C$5,$C398='Elevkort'!$C$4),MAX(I$1:I397)+1,"")</f>
        <v/>
      </c>
    </row>
    <row r="399" ht="20" customHeight="1">
      <c r="A399" s="18" t="n"/>
      <c r="B399" s="18" t="n"/>
      <c r="C399" s="18" t="n"/>
      <c r="D399" s="18" t="n"/>
      <c r="E399" s="18" t="n"/>
      <c r="F399" s="19" t="n"/>
      <c r="G399" s="18" t="n"/>
      <c r="H399">
        <f>IF(OR($E399="Raudt",$E399="Rødt",$E399="Raud",$E399="Rød"),3,IF($E399="Gult",2,IF(OR($E399="Grønt",$E399="Grøn",$E399="Grønn"),1,0)))</f>
        <v/>
      </c>
      <c r="I399">
        <f>IF(AND($C399&lt;&gt;"",$A399='Oversikt'!$C$4,$B399='Oversikt'!$C$5,$C399='Elevkort'!$C$4),MAX(I$1:I398)+1,"")</f>
        <v/>
      </c>
    </row>
    <row r="400" ht="20" customHeight="1">
      <c r="A400" s="18" t="n"/>
      <c r="B400" s="18" t="n"/>
      <c r="C400" s="18" t="n"/>
      <c r="D400" s="18" t="n"/>
      <c r="E400" s="18" t="n"/>
      <c r="F400" s="19" t="n"/>
      <c r="G400" s="18" t="n"/>
      <c r="H400">
        <f>IF(OR($E400="Raudt",$E400="Rødt",$E400="Raud",$E400="Rød"),3,IF($E400="Gult",2,IF(OR($E400="Grønt",$E400="Grøn",$E400="Grønn"),1,0)))</f>
        <v/>
      </c>
      <c r="I400">
        <f>IF(AND($C400&lt;&gt;"",$A400='Oversikt'!$C$4,$B400='Oversikt'!$C$5,$C400='Elevkort'!$C$4),MAX(I$1:I399)+1,"")</f>
        <v/>
      </c>
    </row>
    <row r="401" ht="20" customHeight="1">
      <c r="A401" s="18" t="n"/>
      <c r="B401" s="18" t="n"/>
      <c r="C401" s="18" t="n"/>
      <c r="D401" s="18" t="n"/>
      <c r="E401" s="18" t="n"/>
      <c r="F401" s="19" t="n"/>
      <c r="G401" s="18" t="n"/>
      <c r="H401">
        <f>IF(OR($E401="Raudt",$E401="Rødt",$E401="Raud",$E401="Rød"),3,IF($E401="Gult",2,IF(OR($E401="Grønt",$E401="Grøn",$E401="Grønn"),1,0)))</f>
        <v/>
      </c>
      <c r="I401">
        <f>IF(AND($C401&lt;&gt;"",$A401='Oversikt'!$C$4,$B401='Oversikt'!$C$5,$C401='Elevkort'!$C$4),MAX(I$1:I400)+1,"")</f>
        <v/>
      </c>
    </row>
    <row r="402" ht="20" customHeight="1">
      <c r="A402" s="18" t="n"/>
      <c r="B402" s="18" t="n"/>
      <c r="C402" s="18" t="n"/>
      <c r="D402" s="18" t="n"/>
      <c r="E402" s="18" t="n"/>
      <c r="F402" s="19" t="n"/>
      <c r="G402" s="18" t="n"/>
      <c r="H402">
        <f>IF(OR($E402="Raudt",$E402="Rødt",$E402="Raud",$E402="Rød"),3,IF($E402="Gult",2,IF(OR($E402="Grønt",$E402="Grøn",$E402="Grønn"),1,0)))</f>
        <v/>
      </c>
      <c r="I402">
        <f>IF(AND($C402&lt;&gt;"",$A402='Oversikt'!$C$4,$B402='Oversikt'!$C$5,$C402='Elevkort'!$C$4),MAX(I$1:I401)+1,"")</f>
        <v/>
      </c>
    </row>
    <row r="403" ht="20" customHeight="1">
      <c r="A403" s="18" t="n"/>
      <c r="B403" s="18" t="n"/>
      <c r="C403" s="18" t="n"/>
      <c r="D403" s="18" t="n"/>
      <c r="E403" s="18" t="n"/>
      <c r="F403" s="19" t="n"/>
      <c r="G403" s="18" t="n"/>
      <c r="H403">
        <f>IF(OR($E403="Raudt",$E403="Rødt",$E403="Raud",$E403="Rød"),3,IF($E403="Gult",2,IF(OR($E403="Grønt",$E403="Grøn",$E403="Grønn"),1,0)))</f>
        <v/>
      </c>
      <c r="I403">
        <f>IF(AND($C403&lt;&gt;"",$A403='Oversikt'!$C$4,$B403='Oversikt'!$C$5,$C403='Elevkort'!$C$4),MAX(I$1:I402)+1,"")</f>
        <v/>
      </c>
    </row>
    <row r="404" ht="20" customHeight="1">
      <c r="A404" s="18" t="n"/>
      <c r="B404" s="18" t="n"/>
      <c r="C404" s="18" t="n"/>
      <c r="D404" s="18" t="n"/>
      <c r="E404" s="18" t="n"/>
      <c r="F404" s="19" t="n"/>
      <c r="G404" s="18" t="n"/>
      <c r="H404">
        <f>IF(OR($E404="Raudt",$E404="Rødt",$E404="Raud",$E404="Rød"),3,IF($E404="Gult",2,IF(OR($E404="Grønt",$E404="Grøn",$E404="Grønn"),1,0)))</f>
        <v/>
      </c>
      <c r="I404">
        <f>IF(AND($C404&lt;&gt;"",$A404='Oversikt'!$C$4,$B404='Oversikt'!$C$5,$C404='Elevkort'!$C$4),MAX(I$1:I403)+1,"")</f>
        <v/>
      </c>
    </row>
    <row r="405" ht="20" customHeight="1">
      <c r="A405" s="18" t="n"/>
      <c r="B405" s="18" t="n"/>
      <c r="C405" s="18" t="n"/>
      <c r="D405" s="18" t="n"/>
      <c r="E405" s="18" t="n"/>
      <c r="F405" s="19" t="n"/>
      <c r="G405" s="18" t="n"/>
      <c r="H405">
        <f>IF(OR($E405="Raudt",$E405="Rødt",$E405="Raud",$E405="Rød"),3,IF($E405="Gult",2,IF(OR($E405="Grønt",$E405="Grøn",$E405="Grønn"),1,0)))</f>
        <v/>
      </c>
      <c r="I405">
        <f>IF(AND($C405&lt;&gt;"",$A405='Oversikt'!$C$4,$B405='Oversikt'!$C$5,$C405='Elevkort'!$C$4),MAX(I$1:I404)+1,"")</f>
        <v/>
      </c>
    </row>
    <row r="406" ht="20" customHeight="1">
      <c r="A406" s="18" t="n"/>
      <c r="B406" s="18" t="n"/>
      <c r="C406" s="18" t="n"/>
      <c r="D406" s="18" t="n"/>
      <c r="E406" s="18" t="n"/>
      <c r="F406" s="19" t="n"/>
      <c r="G406" s="18" t="n"/>
      <c r="H406">
        <f>IF(OR($E406="Raudt",$E406="Rødt",$E406="Raud",$E406="Rød"),3,IF($E406="Gult",2,IF(OR($E406="Grønt",$E406="Grøn",$E406="Grønn"),1,0)))</f>
        <v/>
      </c>
      <c r="I406">
        <f>IF(AND($C406&lt;&gt;"",$A406='Oversikt'!$C$4,$B406='Oversikt'!$C$5,$C406='Elevkort'!$C$4),MAX(I$1:I405)+1,"")</f>
        <v/>
      </c>
    </row>
    <row r="407" ht="20" customHeight="1">
      <c r="A407" s="18" t="n"/>
      <c r="B407" s="18" t="n"/>
      <c r="C407" s="18" t="n"/>
      <c r="D407" s="18" t="n"/>
      <c r="E407" s="18" t="n"/>
      <c r="F407" s="19" t="n"/>
      <c r="G407" s="18" t="n"/>
      <c r="H407">
        <f>IF(OR($E407="Raudt",$E407="Rødt",$E407="Raud",$E407="Rød"),3,IF($E407="Gult",2,IF(OR($E407="Grønt",$E407="Grøn",$E407="Grønn"),1,0)))</f>
        <v/>
      </c>
      <c r="I407">
        <f>IF(AND($C407&lt;&gt;"",$A407='Oversikt'!$C$4,$B407='Oversikt'!$C$5,$C407='Elevkort'!$C$4),MAX(I$1:I406)+1,"")</f>
        <v/>
      </c>
    </row>
    <row r="408" ht="20" customHeight="1">
      <c r="A408" s="18" t="n"/>
      <c r="B408" s="18" t="n"/>
      <c r="C408" s="18" t="n"/>
      <c r="D408" s="18" t="n"/>
      <c r="E408" s="18" t="n"/>
      <c r="F408" s="19" t="n"/>
      <c r="G408" s="18" t="n"/>
      <c r="H408">
        <f>IF(OR($E408="Raudt",$E408="Rødt",$E408="Raud",$E408="Rød"),3,IF($E408="Gult",2,IF(OR($E408="Grønt",$E408="Grøn",$E408="Grønn"),1,0)))</f>
        <v/>
      </c>
      <c r="I408">
        <f>IF(AND($C408&lt;&gt;"",$A408='Oversikt'!$C$4,$B408='Oversikt'!$C$5,$C408='Elevkort'!$C$4),MAX(I$1:I407)+1,"")</f>
        <v/>
      </c>
    </row>
    <row r="409" ht="20" customHeight="1">
      <c r="A409" s="18" t="n"/>
      <c r="B409" s="18" t="n"/>
      <c r="C409" s="18" t="n"/>
      <c r="D409" s="18" t="n"/>
      <c r="E409" s="18" t="n"/>
      <c r="F409" s="19" t="n"/>
      <c r="G409" s="18" t="n"/>
      <c r="H409">
        <f>IF(OR($E409="Raudt",$E409="Rødt",$E409="Raud",$E409="Rød"),3,IF($E409="Gult",2,IF(OR($E409="Grønt",$E409="Grøn",$E409="Grønn"),1,0)))</f>
        <v/>
      </c>
      <c r="I409">
        <f>IF(AND($C409&lt;&gt;"",$A409='Oversikt'!$C$4,$B409='Oversikt'!$C$5,$C409='Elevkort'!$C$4),MAX(I$1:I408)+1,"")</f>
        <v/>
      </c>
    </row>
    <row r="410" ht="20" customHeight="1">
      <c r="A410" s="18" t="n"/>
      <c r="B410" s="18" t="n"/>
      <c r="C410" s="18" t="n"/>
      <c r="D410" s="18" t="n"/>
      <c r="E410" s="18" t="n"/>
      <c r="F410" s="19" t="n"/>
      <c r="G410" s="18" t="n"/>
      <c r="H410">
        <f>IF(OR($E410="Raudt",$E410="Rødt",$E410="Raud",$E410="Rød"),3,IF($E410="Gult",2,IF(OR($E410="Grønt",$E410="Grøn",$E410="Grønn"),1,0)))</f>
        <v/>
      </c>
      <c r="I410">
        <f>IF(AND($C410&lt;&gt;"",$A410='Oversikt'!$C$4,$B410='Oversikt'!$C$5,$C410='Elevkort'!$C$4),MAX(I$1:I409)+1,"")</f>
        <v/>
      </c>
    </row>
    <row r="411" ht="20" customHeight="1">
      <c r="A411" s="18" t="n"/>
      <c r="B411" s="18" t="n"/>
      <c r="C411" s="18" t="n"/>
      <c r="D411" s="18" t="n"/>
      <c r="E411" s="18" t="n"/>
      <c r="F411" s="19" t="n"/>
      <c r="G411" s="18" t="n"/>
      <c r="H411">
        <f>IF(OR($E411="Raudt",$E411="Rødt",$E411="Raud",$E411="Rød"),3,IF($E411="Gult",2,IF(OR($E411="Grønt",$E411="Grøn",$E411="Grønn"),1,0)))</f>
        <v/>
      </c>
      <c r="I411">
        <f>IF(AND($C411&lt;&gt;"",$A411='Oversikt'!$C$4,$B411='Oversikt'!$C$5,$C411='Elevkort'!$C$4),MAX(I$1:I410)+1,"")</f>
        <v/>
      </c>
    </row>
    <row r="412" ht="20" customHeight="1">
      <c r="A412" s="18" t="n"/>
      <c r="B412" s="18" t="n"/>
      <c r="C412" s="18" t="n"/>
      <c r="D412" s="18" t="n"/>
      <c r="E412" s="18" t="n"/>
      <c r="F412" s="19" t="n"/>
      <c r="G412" s="18" t="n"/>
      <c r="H412">
        <f>IF(OR($E412="Raudt",$E412="Rødt",$E412="Raud",$E412="Rød"),3,IF($E412="Gult",2,IF(OR($E412="Grønt",$E412="Grøn",$E412="Grønn"),1,0)))</f>
        <v/>
      </c>
      <c r="I412">
        <f>IF(AND($C412&lt;&gt;"",$A412='Oversikt'!$C$4,$B412='Oversikt'!$C$5,$C412='Elevkort'!$C$4),MAX(I$1:I411)+1,"")</f>
        <v/>
      </c>
    </row>
    <row r="413" ht="20" customHeight="1">
      <c r="A413" s="18" t="n"/>
      <c r="B413" s="18" t="n"/>
      <c r="C413" s="18" t="n"/>
      <c r="D413" s="18" t="n"/>
      <c r="E413" s="18" t="n"/>
      <c r="F413" s="19" t="n"/>
      <c r="G413" s="18" t="n"/>
      <c r="H413">
        <f>IF(OR($E413="Raudt",$E413="Rødt",$E413="Raud",$E413="Rød"),3,IF($E413="Gult",2,IF(OR($E413="Grønt",$E413="Grøn",$E413="Grønn"),1,0)))</f>
        <v/>
      </c>
      <c r="I413">
        <f>IF(AND($C413&lt;&gt;"",$A413='Oversikt'!$C$4,$B413='Oversikt'!$C$5,$C413='Elevkort'!$C$4),MAX(I$1:I412)+1,"")</f>
        <v/>
      </c>
    </row>
    <row r="414" ht="20" customHeight="1">
      <c r="A414" s="18" t="n"/>
      <c r="B414" s="18" t="n"/>
      <c r="C414" s="18" t="n"/>
      <c r="D414" s="18" t="n"/>
      <c r="E414" s="18" t="n"/>
      <c r="F414" s="19" t="n"/>
      <c r="G414" s="18" t="n"/>
      <c r="H414">
        <f>IF(OR($E414="Raudt",$E414="Rødt",$E414="Raud",$E414="Rød"),3,IF($E414="Gult",2,IF(OR($E414="Grønt",$E414="Grøn",$E414="Grønn"),1,0)))</f>
        <v/>
      </c>
      <c r="I414">
        <f>IF(AND($C414&lt;&gt;"",$A414='Oversikt'!$C$4,$B414='Oversikt'!$C$5,$C414='Elevkort'!$C$4),MAX(I$1:I413)+1,"")</f>
        <v/>
      </c>
    </row>
    <row r="415" ht="20" customHeight="1">
      <c r="A415" s="18" t="n"/>
      <c r="B415" s="18" t="n"/>
      <c r="C415" s="18" t="n"/>
      <c r="D415" s="18" t="n"/>
      <c r="E415" s="18" t="n"/>
      <c r="F415" s="19" t="n"/>
      <c r="G415" s="18" t="n"/>
      <c r="H415">
        <f>IF(OR($E415="Raudt",$E415="Rødt",$E415="Raud",$E415="Rød"),3,IF($E415="Gult",2,IF(OR($E415="Grønt",$E415="Grøn",$E415="Grønn"),1,0)))</f>
        <v/>
      </c>
      <c r="I415">
        <f>IF(AND($C415&lt;&gt;"",$A415='Oversikt'!$C$4,$B415='Oversikt'!$C$5,$C415='Elevkort'!$C$4),MAX(I$1:I414)+1,"")</f>
        <v/>
      </c>
    </row>
    <row r="416" ht="20" customHeight="1">
      <c r="A416" s="18" t="n"/>
      <c r="B416" s="18" t="n"/>
      <c r="C416" s="18" t="n"/>
      <c r="D416" s="18" t="n"/>
      <c r="E416" s="18" t="n"/>
      <c r="F416" s="19" t="n"/>
      <c r="G416" s="18" t="n"/>
      <c r="H416">
        <f>IF(OR($E416="Raudt",$E416="Rødt",$E416="Raud",$E416="Rød"),3,IF($E416="Gult",2,IF(OR($E416="Grønt",$E416="Grøn",$E416="Grønn"),1,0)))</f>
        <v/>
      </c>
      <c r="I416">
        <f>IF(AND($C416&lt;&gt;"",$A416='Oversikt'!$C$4,$B416='Oversikt'!$C$5,$C416='Elevkort'!$C$4),MAX(I$1:I415)+1,"")</f>
        <v/>
      </c>
    </row>
    <row r="417" ht="20" customHeight="1">
      <c r="A417" s="18" t="n"/>
      <c r="B417" s="18" t="n"/>
      <c r="C417" s="18" t="n"/>
      <c r="D417" s="18" t="n"/>
      <c r="E417" s="18" t="n"/>
      <c r="F417" s="19" t="n"/>
      <c r="G417" s="18" t="n"/>
      <c r="H417">
        <f>IF(OR($E417="Raudt",$E417="Rødt",$E417="Raud",$E417="Rød"),3,IF($E417="Gult",2,IF(OR($E417="Grønt",$E417="Grøn",$E417="Grønn"),1,0)))</f>
        <v/>
      </c>
      <c r="I417">
        <f>IF(AND($C417&lt;&gt;"",$A417='Oversikt'!$C$4,$B417='Oversikt'!$C$5,$C417='Elevkort'!$C$4),MAX(I$1:I416)+1,"")</f>
        <v/>
      </c>
    </row>
    <row r="418" ht="20" customHeight="1">
      <c r="A418" s="18" t="n"/>
      <c r="B418" s="18" t="n"/>
      <c r="C418" s="18" t="n"/>
      <c r="D418" s="18" t="n"/>
      <c r="E418" s="18" t="n"/>
      <c r="F418" s="19" t="n"/>
      <c r="G418" s="18" t="n"/>
      <c r="H418">
        <f>IF(OR($E418="Raudt",$E418="Rødt",$E418="Raud",$E418="Rød"),3,IF($E418="Gult",2,IF(OR($E418="Grønt",$E418="Grøn",$E418="Grønn"),1,0)))</f>
        <v/>
      </c>
      <c r="I418">
        <f>IF(AND($C418&lt;&gt;"",$A418='Oversikt'!$C$4,$B418='Oversikt'!$C$5,$C418='Elevkort'!$C$4),MAX(I$1:I417)+1,"")</f>
        <v/>
      </c>
    </row>
    <row r="419" ht="20" customHeight="1">
      <c r="A419" s="18" t="n"/>
      <c r="B419" s="18" t="n"/>
      <c r="C419" s="18" t="n"/>
      <c r="D419" s="18" t="n"/>
      <c r="E419" s="18" t="n"/>
      <c r="F419" s="19" t="n"/>
      <c r="G419" s="18" t="n"/>
      <c r="H419">
        <f>IF(OR($E419="Raudt",$E419="Rødt",$E419="Raud",$E419="Rød"),3,IF($E419="Gult",2,IF(OR($E419="Grønt",$E419="Grøn",$E419="Grønn"),1,0)))</f>
        <v/>
      </c>
      <c r="I419">
        <f>IF(AND($C419&lt;&gt;"",$A419='Oversikt'!$C$4,$B419='Oversikt'!$C$5,$C419='Elevkort'!$C$4),MAX(I$1:I418)+1,"")</f>
        <v/>
      </c>
    </row>
    <row r="420" ht="20" customHeight="1">
      <c r="A420" s="18" t="n"/>
      <c r="B420" s="18" t="n"/>
      <c r="C420" s="18" t="n"/>
      <c r="D420" s="18" t="n"/>
      <c r="E420" s="18" t="n"/>
      <c r="F420" s="19" t="n"/>
      <c r="G420" s="18" t="n"/>
      <c r="H420">
        <f>IF(OR($E420="Raudt",$E420="Rødt",$E420="Raud",$E420="Rød"),3,IF($E420="Gult",2,IF(OR($E420="Grønt",$E420="Grøn",$E420="Grønn"),1,0)))</f>
        <v/>
      </c>
      <c r="I420">
        <f>IF(AND($C420&lt;&gt;"",$A420='Oversikt'!$C$4,$B420='Oversikt'!$C$5,$C420='Elevkort'!$C$4),MAX(I$1:I419)+1,"")</f>
        <v/>
      </c>
    </row>
    <row r="421" ht="20" customHeight="1">
      <c r="A421" s="18" t="n"/>
      <c r="B421" s="18" t="n"/>
      <c r="C421" s="18" t="n"/>
      <c r="D421" s="18" t="n"/>
      <c r="E421" s="18" t="n"/>
      <c r="F421" s="19" t="n"/>
      <c r="G421" s="18" t="n"/>
      <c r="H421">
        <f>IF(OR($E421="Raudt",$E421="Rødt",$E421="Raud",$E421="Rød"),3,IF($E421="Gult",2,IF(OR($E421="Grønt",$E421="Grøn",$E421="Grønn"),1,0)))</f>
        <v/>
      </c>
      <c r="I421">
        <f>IF(AND($C421&lt;&gt;"",$A421='Oversikt'!$C$4,$B421='Oversikt'!$C$5,$C421='Elevkort'!$C$4),MAX(I$1:I420)+1,"")</f>
        <v/>
      </c>
    </row>
    <row r="422" ht="20" customHeight="1">
      <c r="A422" s="18" t="n"/>
      <c r="B422" s="18" t="n"/>
      <c r="C422" s="18" t="n"/>
      <c r="D422" s="18" t="n"/>
      <c r="E422" s="18" t="n"/>
      <c r="F422" s="19" t="n"/>
      <c r="G422" s="18" t="n"/>
      <c r="H422">
        <f>IF(OR($E422="Raudt",$E422="Rødt",$E422="Raud",$E422="Rød"),3,IF($E422="Gult",2,IF(OR($E422="Grønt",$E422="Grøn",$E422="Grønn"),1,0)))</f>
        <v/>
      </c>
      <c r="I422">
        <f>IF(AND($C422&lt;&gt;"",$A422='Oversikt'!$C$4,$B422='Oversikt'!$C$5,$C422='Elevkort'!$C$4),MAX(I$1:I421)+1,"")</f>
        <v/>
      </c>
    </row>
    <row r="423" ht="20" customHeight="1">
      <c r="A423" s="18" t="n"/>
      <c r="B423" s="18" t="n"/>
      <c r="C423" s="18" t="n"/>
      <c r="D423" s="18" t="n"/>
      <c r="E423" s="18" t="n"/>
      <c r="F423" s="19" t="n"/>
      <c r="G423" s="18" t="n"/>
      <c r="H423">
        <f>IF(OR($E423="Raudt",$E423="Rødt",$E423="Raud",$E423="Rød"),3,IF($E423="Gult",2,IF(OR($E423="Grønt",$E423="Grøn",$E423="Grønn"),1,0)))</f>
        <v/>
      </c>
      <c r="I423">
        <f>IF(AND($C423&lt;&gt;"",$A423='Oversikt'!$C$4,$B423='Oversikt'!$C$5,$C423='Elevkort'!$C$4),MAX(I$1:I422)+1,"")</f>
        <v/>
      </c>
    </row>
    <row r="424" ht="20" customHeight="1">
      <c r="A424" s="18" t="n"/>
      <c r="B424" s="18" t="n"/>
      <c r="C424" s="18" t="n"/>
      <c r="D424" s="18" t="n"/>
      <c r="E424" s="18" t="n"/>
      <c r="F424" s="19" t="n"/>
      <c r="G424" s="18" t="n"/>
      <c r="H424">
        <f>IF(OR($E424="Raudt",$E424="Rødt",$E424="Raud",$E424="Rød"),3,IF($E424="Gult",2,IF(OR($E424="Grønt",$E424="Grøn",$E424="Grønn"),1,0)))</f>
        <v/>
      </c>
      <c r="I424">
        <f>IF(AND($C424&lt;&gt;"",$A424='Oversikt'!$C$4,$B424='Oversikt'!$C$5,$C424='Elevkort'!$C$4),MAX(I$1:I423)+1,"")</f>
        <v/>
      </c>
    </row>
    <row r="425" ht="20" customHeight="1">
      <c r="A425" s="18" t="n"/>
      <c r="B425" s="18" t="n"/>
      <c r="C425" s="18" t="n"/>
      <c r="D425" s="18" t="n"/>
      <c r="E425" s="18" t="n"/>
      <c r="F425" s="19" t="n"/>
      <c r="G425" s="18" t="n"/>
      <c r="H425">
        <f>IF(OR($E425="Raudt",$E425="Rødt",$E425="Raud",$E425="Rød"),3,IF($E425="Gult",2,IF(OR($E425="Grønt",$E425="Grøn",$E425="Grønn"),1,0)))</f>
        <v/>
      </c>
      <c r="I425">
        <f>IF(AND($C425&lt;&gt;"",$A425='Oversikt'!$C$4,$B425='Oversikt'!$C$5,$C425='Elevkort'!$C$4),MAX(I$1:I424)+1,"")</f>
        <v/>
      </c>
    </row>
    <row r="426" ht="20" customHeight="1">
      <c r="A426" s="18" t="n"/>
      <c r="B426" s="18" t="n"/>
      <c r="C426" s="18" t="n"/>
      <c r="D426" s="18" t="n"/>
      <c r="E426" s="18" t="n"/>
      <c r="F426" s="19" t="n"/>
      <c r="G426" s="18" t="n"/>
      <c r="H426">
        <f>IF(OR($E426="Raudt",$E426="Rødt",$E426="Raud",$E426="Rød"),3,IF($E426="Gult",2,IF(OR($E426="Grønt",$E426="Grøn",$E426="Grønn"),1,0)))</f>
        <v/>
      </c>
      <c r="I426">
        <f>IF(AND($C426&lt;&gt;"",$A426='Oversikt'!$C$4,$B426='Oversikt'!$C$5,$C426='Elevkort'!$C$4),MAX(I$1:I425)+1,"")</f>
        <v/>
      </c>
    </row>
    <row r="427" ht="20" customHeight="1">
      <c r="A427" s="18" t="n"/>
      <c r="B427" s="18" t="n"/>
      <c r="C427" s="18" t="n"/>
      <c r="D427" s="18" t="n"/>
      <c r="E427" s="18" t="n"/>
      <c r="F427" s="19" t="n"/>
      <c r="G427" s="18" t="n"/>
      <c r="H427">
        <f>IF(OR($E427="Raudt",$E427="Rødt",$E427="Raud",$E427="Rød"),3,IF($E427="Gult",2,IF(OR($E427="Grønt",$E427="Grøn",$E427="Grønn"),1,0)))</f>
        <v/>
      </c>
      <c r="I427">
        <f>IF(AND($C427&lt;&gt;"",$A427='Oversikt'!$C$4,$B427='Oversikt'!$C$5,$C427='Elevkort'!$C$4),MAX(I$1:I426)+1,"")</f>
        <v/>
      </c>
    </row>
    <row r="428" ht="20" customHeight="1">
      <c r="A428" s="18" t="n"/>
      <c r="B428" s="18" t="n"/>
      <c r="C428" s="18" t="n"/>
      <c r="D428" s="18" t="n"/>
      <c r="E428" s="18" t="n"/>
      <c r="F428" s="19" t="n"/>
      <c r="G428" s="18" t="n"/>
      <c r="H428">
        <f>IF(OR($E428="Raudt",$E428="Rødt",$E428="Raud",$E428="Rød"),3,IF($E428="Gult",2,IF(OR($E428="Grønt",$E428="Grøn",$E428="Grønn"),1,0)))</f>
        <v/>
      </c>
      <c r="I428">
        <f>IF(AND($C428&lt;&gt;"",$A428='Oversikt'!$C$4,$B428='Oversikt'!$C$5,$C428='Elevkort'!$C$4),MAX(I$1:I427)+1,"")</f>
        <v/>
      </c>
    </row>
    <row r="429" ht="20" customHeight="1">
      <c r="A429" s="18" t="n"/>
      <c r="B429" s="18" t="n"/>
      <c r="C429" s="18" t="n"/>
      <c r="D429" s="18" t="n"/>
      <c r="E429" s="18" t="n"/>
      <c r="F429" s="19" t="n"/>
      <c r="G429" s="18" t="n"/>
      <c r="H429">
        <f>IF(OR($E429="Raudt",$E429="Rødt",$E429="Raud",$E429="Rød"),3,IF($E429="Gult",2,IF(OR($E429="Grønt",$E429="Grøn",$E429="Grønn"),1,0)))</f>
        <v/>
      </c>
      <c r="I429">
        <f>IF(AND($C429&lt;&gt;"",$A429='Oversikt'!$C$4,$B429='Oversikt'!$C$5,$C429='Elevkort'!$C$4),MAX(I$1:I428)+1,"")</f>
        <v/>
      </c>
    </row>
    <row r="430" ht="20" customHeight="1">
      <c r="A430" s="18" t="n"/>
      <c r="B430" s="18" t="n"/>
      <c r="C430" s="18" t="n"/>
      <c r="D430" s="18" t="n"/>
      <c r="E430" s="18" t="n"/>
      <c r="F430" s="19" t="n"/>
      <c r="G430" s="18" t="n"/>
      <c r="H430">
        <f>IF(OR($E430="Raudt",$E430="Rødt",$E430="Raud",$E430="Rød"),3,IF($E430="Gult",2,IF(OR($E430="Grønt",$E430="Grøn",$E430="Grønn"),1,0)))</f>
        <v/>
      </c>
      <c r="I430">
        <f>IF(AND($C430&lt;&gt;"",$A430='Oversikt'!$C$4,$B430='Oversikt'!$C$5,$C430='Elevkort'!$C$4),MAX(I$1:I429)+1,"")</f>
        <v/>
      </c>
    </row>
    <row r="431" ht="20" customHeight="1">
      <c r="A431" s="18" t="n"/>
      <c r="B431" s="18" t="n"/>
      <c r="C431" s="18" t="n"/>
      <c r="D431" s="18" t="n"/>
      <c r="E431" s="18" t="n"/>
      <c r="F431" s="19" t="n"/>
      <c r="G431" s="18" t="n"/>
      <c r="H431">
        <f>IF(OR($E431="Raudt",$E431="Rødt",$E431="Raud",$E431="Rød"),3,IF($E431="Gult",2,IF(OR($E431="Grønt",$E431="Grøn",$E431="Grønn"),1,0)))</f>
        <v/>
      </c>
      <c r="I431">
        <f>IF(AND($C431&lt;&gt;"",$A431='Oversikt'!$C$4,$B431='Oversikt'!$C$5,$C431='Elevkort'!$C$4),MAX(I$1:I430)+1,"")</f>
        <v/>
      </c>
    </row>
    <row r="432" ht="20" customHeight="1">
      <c r="A432" s="18" t="n"/>
      <c r="B432" s="18" t="n"/>
      <c r="C432" s="18" t="n"/>
      <c r="D432" s="18" t="n"/>
      <c r="E432" s="18" t="n"/>
      <c r="F432" s="19" t="n"/>
      <c r="G432" s="18" t="n"/>
      <c r="H432">
        <f>IF(OR($E432="Raudt",$E432="Rødt",$E432="Raud",$E432="Rød"),3,IF($E432="Gult",2,IF(OR($E432="Grønt",$E432="Grøn",$E432="Grønn"),1,0)))</f>
        <v/>
      </c>
      <c r="I432">
        <f>IF(AND($C432&lt;&gt;"",$A432='Oversikt'!$C$4,$B432='Oversikt'!$C$5,$C432='Elevkort'!$C$4),MAX(I$1:I431)+1,"")</f>
        <v/>
      </c>
    </row>
    <row r="433" ht="20" customHeight="1">
      <c r="A433" s="18" t="n"/>
      <c r="B433" s="18" t="n"/>
      <c r="C433" s="18" t="n"/>
      <c r="D433" s="18" t="n"/>
      <c r="E433" s="18" t="n"/>
      <c r="F433" s="19" t="n"/>
      <c r="G433" s="18" t="n"/>
      <c r="H433">
        <f>IF(OR($E433="Raudt",$E433="Rødt",$E433="Raud",$E433="Rød"),3,IF($E433="Gult",2,IF(OR($E433="Grønt",$E433="Grøn",$E433="Grønn"),1,0)))</f>
        <v/>
      </c>
      <c r="I433">
        <f>IF(AND($C433&lt;&gt;"",$A433='Oversikt'!$C$4,$B433='Oversikt'!$C$5,$C433='Elevkort'!$C$4),MAX(I$1:I432)+1,"")</f>
        <v/>
      </c>
    </row>
    <row r="434" ht="20" customHeight="1">
      <c r="A434" s="18" t="n"/>
      <c r="B434" s="18" t="n"/>
      <c r="C434" s="18" t="n"/>
      <c r="D434" s="18" t="n"/>
      <c r="E434" s="18" t="n"/>
      <c r="F434" s="19" t="n"/>
      <c r="G434" s="18" t="n"/>
      <c r="H434">
        <f>IF(OR($E434="Raudt",$E434="Rødt",$E434="Raud",$E434="Rød"),3,IF($E434="Gult",2,IF(OR($E434="Grønt",$E434="Grøn",$E434="Grønn"),1,0)))</f>
        <v/>
      </c>
      <c r="I434">
        <f>IF(AND($C434&lt;&gt;"",$A434='Oversikt'!$C$4,$B434='Oversikt'!$C$5,$C434='Elevkort'!$C$4),MAX(I$1:I433)+1,"")</f>
        <v/>
      </c>
    </row>
    <row r="435" ht="20" customHeight="1">
      <c r="A435" s="18" t="n"/>
      <c r="B435" s="18" t="n"/>
      <c r="C435" s="18" t="n"/>
      <c r="D435" s="18" t="n"/>
      <c r="E435" s="18" t="n"/>
      <c r="F435" s="19" t="n"/>
      <c r="G435" s="18" t="n"/>
      <c r="H435">
        <f>IF(OR($E435="Raudt",$E435="Rødt",$E435="Raud",$E435="Rød"),3,IF($E435="Gult",2,IF(OR($E435="Grønt",$E435="Grøn",$E435="Grønn"),1,0)))</f>
        <v/>
      </c>
      <c r="I435">
        <f>IF(AND($C435&lt;&gt;"",$A435='Oversikt'!$C$4,$B435='Oversikt'!$C$5,$C435='Elevkort'!$C$4),MAX(I$1:I434)+1,"")</f>
        <v/>
      </c>
    </row>
    <row r="436" ht="20" customHeight="1">
      <c r="A436" s="18" t="n"/>
      <c r="B436" s="18" t="n"/>
      <c r="C436" s="18" t="n"/>
      <c r="D436" s="18" t="n"/>
      <c r="E436" s="18" t="n"/>
      <c r="F436" s="19" t="n"/>
      <c r="G436" s="18" t="n"/>
      <c r="H436">
        <f>IF(OR($E436="Raudt",$E436="Rødt",$E436="Raud",$E436="Rød"),3,IF($E436="Gult",2,IF(OR($E436="Grønt",$E436="Grøn",$E436="Grønn"),1,0)))</f>
        <v/>
      </c>
      <c r="I436">
        <f>IF(AND($C436&lt;&gt;"",$A436='Oversikt'!$C$4,$B436='Oversikt'!$C$5,$C436='Elevkort'!$C$4),MAX(I$1:I435)+1,"")</f>
        <v/>
      </c>
    </row>
    <row r="437" ht="20" customHeight="1">
      <c r="A437" s="18" t="n"/>
      <c r="B437" s="18" t="n"/>
      <c r="C437" s="18" t="n"/>
      <c r="D437" s="18" t="n"/>
      <c r="E437" s="18" t="n"/>
      <c r="F437" s="19" t="n"/>
      <c r="G437" s="18" t="n"/>
      <c r="H437">
        <f>IF(OR($E437="Raudt",$E437="Rødt",$E437="Raud",$E437="Rød"),3,IF($E437="Gult",2,IF(OR($E437="Grønt",$E437="Grøn",$E437="Grønn"),1,0)))</f>
        <v/>
      </c>
      <c r="I437">
        <f>IF(AND($C437&lt;&gt;"",$A437='Oversikt'!$C$4,$B437='Oversikt'!$C$5,$C437='Elevkort'!$C$4),MAX(I$1:I436)+1,"")</f>
        <v/>
      </c>
    </row>
    <row r="438" ht="20" customHeight="1">
      <c r="A438" s="18" t="n"/>
      <c r="B438" s="18" t="n"/>
      <c r="C438" s="18" t="n"/>
      <c r="D438" s="18" t="n"/>
      <c r="E438" s="18" t="n"/>
      <c r="F438" s="19" t="n"/>
      <c r="G438" s="18" t="n"/>
      <c r="H438">
        <f>IF(OR($E438="Raudt",$E438="Rødt",$E438="Raud",$E438="Rød"),3,IF($E438="Gult",2,IF(OR($E438="Grønt",$E438="Grøn",$E438="Grønn"),1,0)))</f>
        <v/>
      </c>
      <c r="I438">
        <f>IF(AND($C438&lt;&gt;"",$A438='Oversikt'!$C$4,$B438='Oversikt'!$C$5,$C438='Elevkort'!$C$4),MAX(I$1:I437)+1,"")</f>
        <v/>
      </c>
    </row>
    <row r="439" ht="20" customHeight="1">
      <c r="A439" s="18" t="n"/>
      <c r="B439" s="18" t="n"/>
      <c r="C439" s="18" t="n"/>
      <c r="D439" s="18" t="n"/>
      <c r="E439" s="18" t="n"/>
      <c r="F439" s="19" t="n"/>
      <c r="G439" s="18" t="n"/>
      <c r="H439">
        <f>IF(OR($E439="Raudt",$E439="Rødt",$E439="Raud",$E439="Rød"),3,IF($E439="Gult",2,IF(OR($E439="Grønt",$E439="Grøn",$E439="Grønn"),1,0)))</f>
        <v/>
      </c>
      <c r="I439">
        <f>IF(AND($C439&lt;&gt;"",$A439='Oversikt'!$C$4,$B439='Oversikt'!$C$5,$C439='Elevkort'!$C$4),MAX(I$1:I438)+1,"")</f>
        <v/>
      </c>
    </row>
    <row r="440" ht="20" customHeight="1">
      <c r="A440" s="18" t="n"/>
      <c r="B440" s="18" t="n"/>
      <c r="C440" s="18" t="n"/>
      <c r="D440" s="18" t="n"/>
      <c r="E440" s="18" t="n"/>
      <c r="F440" s="19" t="n"/>
      <c r="G440" s="18" t="n"/>
      <c r="H440">
        <f>IF(OR($E440="Raudt",$E440="Rødt",$E440="Raud",$E440="Rød"),3,IF($E440="Gult",2,IF(OR($E440="Grønt",$E440="Grøn",$E440="Grønn"),1,0)))</f>
        <v/>
      </c>
      <c r="I440">
        <f>IF(AND($C440&lt;&gt;"",$A440='Oversikt'!$C$4,$B440='Oversikt'!$C$5,$C440='Elevkort'!$C$4),MAX(I$1:I439)+1,"")</f>
        <v/>
      </c>
    </row>
    <row r="441" ht="20" customHeight="1">
      <c r="A441" s="18" t="n"/>
      <c r="B441" s="18" t="n"/>
      <c r="C441" s="18" t="n"/>
      <c r="D441" s="18" t="n"/>
      <c r="E441" s="18" t="n"/>
      <c r="F441" s="19" t="n"/>
      <c r="G441" s="18" t="n"/>
      <c r="H441">
        <f>IF(OR($E441="Raudt",$E441="Rødt",$E441="Raud",$E441="Rød"),3,IF($E441="Gult",2,IF(OR($E441="Grønt",$E441="Grøn",$E441="Grønn"),1,0)))</f>
        <v/>
      </c>
      <c r="I441">
        <f>IF(AND($C441&lt;&gt;"",$A441='Oversikt'!$C$4,$B441='Oversikt'!$C$5,$C441='Elevkort'!$C$4),MAX(I$1:I440)+1,"")</f>
        <v/>
      </c>
    </row>
    <row r="442" ht="20" customHeight="1">
      <c r="A442" s="18" t="n"/>
      <c r="B442" s="18" t="n"/>
      <c r="C442" s="18" t="n"/>
      <c r="D442" s="18" t="n"/>
      <c r="E442" s="18" t="n"/>
      <c r="F442" s="19" t="n"/>
      <c r="G442" s="18" t="n"/>
      <c r="H442">
        <f>IF(OR($E442="Raudt",$E442="Rødt",$E442="Raud",$E442="Rød"),3,IF($E442="Gult",2,IF(OR($E442="Grønt",$E442="Grøn",$E442="Grønn"),1,0)))</f>
        <v/>
      </c>
      <c r="I442">
        <f>IF(AND($C442&lt;&gt;"",$A442='Oversikt'!$C$4,$B442='Oversikt'!$C$5,$C442='Elevkort'!$C$4),MAX(I$1:I441)+1,"")</f>
        <v/>
      </c>
    </row>
    <row r="443" ht="20" customHeight="1">
      <c r="A443" s="18" t="n"/>
      <c r="B443" s="18" t="n"/>
      <c r="C443" s="18" t="n"/>
      <c r="D443" s="18" t="n"/>
      <c r="E443" s="18" t="n"/>
      <c r="F443" s="19" t="n"/>
      <c r="G443" s="18" t="n"/>
      <c r="H443">
        <f>IF(OR($E443="Raudt",$E443="Rødt",$E443="Raud",$E443="Rød"),3,IF($E443="Gult",2,IF(OR($E443="Grønt",$E443="Grøn",$E443="Grønn"),1,0)))</f>
        <v/>
      </c>
      <c r="I443">
        <f>IF(AND($C443&lt;&gt;"",$A443='Oversikt'!$C$4,$B443='Oversikt'!$C$5,$C443='Elevkort'!$C$4),MAX(I$1:I442)+1,"")</f>
        <v/>
      </c>
    </row>
    <row r="444" ht="20" customHeight="1">
      <c r="A444" s="18" t="n"/>
      <c r="B444" s="18" t="n"/>
      <c r="C444" s="18" t="n"/>
      <c r="D444" s="18" t="n"/>
      <c r="E444" s="18" t="n"/>
      <c r="F444" s="19" t="n"/>
      <c r="G444" s="18" t="n"/>
      <c r="H444">
        <f>IF(OR($E444="Raudt",$E444="Rødt",$E444="Raud",$E444="Rød"),3,IF($E444="Gult",2,IF(OR($E444="Grønt",$E444="Grøn",$E444="Grønn"),1,0)))</f>
        <v/>
      </c>
      <c r="I444">
        <f>IF(AND($C444&lt;&gt;"",$A444='Oversikt'!$C$4,$B444='Oversikt'!$C$5,$C444='Elevkort'!$C$4),MAX(I$1:I443)+1,"")</f>
        <v/>
      </c>
    </row>
    <row r="445" ht="20" customHeight="1">
      <c r="A445" s="18" t="n"/>
      <c r="B445" s="18" t="n"/>
      <c r="C445" s="18" t="n"/>
      <c r="D445" s="18" t="n"/>
      <c r="E445" s="18" t="n"/>
      <c r="F445" s="19" t="n"/>
      <c r="G445" s="18" t="n"/>
      <c r="H445">
        <f>IF(OR($E445="Raudt",$E445="Rødt",$E445="Raud",$E445="Rød"),3,IF($E445="Gult",2,IF(OR($E445="Grønt",$E445="Grøn",$E445="Grønn"),1,0)))</f>
        <v/>
      </c>
      <c r="I445">
        <f>IF(AND($C445&lt;&gt;"",$A445='Oversikt'!$C$4,$B445='Oversikt'!$C$5,$C445='Elevkort'!$C$4),MAX(I$1:I444)+1,"")</f>
        <v/>
      </c>
    </row>
    <row r="446" ht="20" customHeight="1">
      <c r="A446" s="18" t="n"/>
      <c r="B446" s="18" t="n"/>
      <c r="C446" s="18" t="n"/>
      <c r="D446" s="18" t="n"/>
      <c r="E446" s="18" t="n"/>
      <c r="F446" s="19" t="n"/>
      <c r="G446" s="18" t="n"/>
      <c r="H446">
        <f>IF(OR($E446="Raudt",$E446="Rødt",$E446="Raud",$E446="Rød"),3,IF($E446="Gult",2,IF(OR($E446="Grønt",$E446="Grøn",$E446="Grønn"),1,0)))</f>
        <v/>
      </c>
      <c r="I446">
        <f>IF(AND($C446&lt;&gt;"",$A446='Oversikt'!$C$4,$B446='Oversikt'!$C$5,$C446='Elevkort'!$C$4),MAX(I$1:I445)+1,"")</f>
        <v/>
      </c>
    </row>
    <row r="447" ht="20" customHeight="1">
      <c r="A447" s="18" t="n"/>
      <c r="B447" s="18" t="n"/>
      <c r="C447" s="18" t="n"/>
      <c r="D447" s="18" t="n"/>
      <c r="E447" s="18" t="n"/>
      <c r="F447" s="19" t="n"/>
      <c r="G447" s="18" t="n"/>
      <c r="H447">
        <f>IF(OR($E447="Raudt",$E447="Rødt",$E447="Raud",$E447="Rød"),3,IF($E447="Gult",2,IF(OR($E447="Grønt",$E447="Grøn",$E447="Grønn"),1,0)))</f>
        <v/>
      </c>
      <c r="I447">
        <f>IF(AND($C447&lt;&gt;"",$A447='Oversikt'!$C$4,$B447='Oversikt'!$C$5,$C447='Elevkort'!$C$4),MAX(I$1:I446)+1,"")</f>
        <v/>
      </c>
    </row>
    <row r="448" ht="20" customHeight="1">
      <c r="A448" s="18" t="n"/>
      <c r="B448" s="18" t="n"/>
      <c r="C448" s="18" t="n"/>
      <c r="D448" s="18" t="n"/>
      <c r="E448" s="18" t="n"/>
      <c r="F448" s="19" t="n"/>
      <c r="G448" s="18" t="n"/>
      <c r="H448">
        <f>IF(OR($E448="Raudt",$E448="Rødt",$E448="Raud",$E448="Rød"),3,IF($E448="Gult",2,IF(OR($E448="Grønt",$E448="Grøn",$E448="Grønn"),1,0)))</f>
        <v/>
      </c>
      <c r="I448">
        <f>IF(AND($C448&lt;&gt;"",$A448='Oversikt'!$C$4,$B448='Oversikt'!$C$5,$C448='Elevkort'!$C$4),MAX(I$1:I447)+1,"")</f>
        <v/>
      </c>
    </row>
    <row r="449" ht="20" customHeight="1">
      <c r="A449" s="18" t="n"/>
      <c r="B449" s="18" t="n"/>
      <c r="C449" s="18" t="n"/>
      <c r="D449" s="18" t="n"/>
      <c r="E449" s="18" t="n"/>
      <c r="F449" s="19" t="n"/>
      <c r="G449" s="18" t="n"/>
      <c r="H449">
        <f>IF(OR($E449="Raudt",$E449="Rødt",$E449="Raud",$E449="Rød"),3,IF($E449="Gult",2,IF(OR($E449="Grønt",$E449="Grøn",$E449="Grønn"),1,0)))</f>
        <v/>
      </c>
      <c r="I449">
        <f>IF(AND($C449&lt;&gt;"",$A449='Oversikt'!$C$4,$B449='Oversikt'!$C$5,$C449='Elevkort'!$C$4),MAX(I$1:I448)+1,"")</f>
        <v/>
      </c>
    </row>
    <row r="450" ht="20" customHeight="1">
      <c r="A450" s="18" t="n"/>
      <c r="B450" s="18" t="n"/>
      <c r="C450" s="18" t="n"/>
      <c r="D450" s="18" t="n"/>
      <c r="E450" s="18" t="n"/>
      <c r="F450" s="19" t="n"/>
      <c r="G450" s="18" t="n"/>
      <c r="H450">
        <f>IF(OR($E450="Raudt",$E450="Rødt",$E450="Raud",$E450="Rød"),3,IF($E450="Gult",2,IF(OR($E450="Grønt",$E450="Grøn",$E450="Grønn"),1,0)))</f>
        <v/>
      </c>
      <c r="I450">
        <f>IF(AND($C450&lt;&gt;"",$A450='Oversikt'!$C$4,$B450='Oversikt'!$C$5,$C450='Elevkort'!$C$4),MAX(I$1:I449)+1,"")</f>
        <v/>
      </c>
    </row>
    <row r="451" ht="20" customHeight="1">
      <c r="A451" s="18" t="n"/>
      <c r="B451" s="18" t="n"/>
      <c r="C451" s="18" t="n"/>
      <c r="D451" s="18" t="n"/>
      <c r="E451" s="18" t="n"/>
      <c r="F451" s="19" t="n"/>
      <c r="G451" s="18" t="n"/>
      <c r="H451">
        <f>IF(OR($E451="Raudt",$E451="Rødt",$E451="Raud",$E451="Rød"),3,IF($E451="Gult",2,IF(OR($E451="Grønt",$E451="Grøn",$E451="Grønn"),1,0)))</f>
        <v/>
      </c>
      <c r="I451">
        <f>IF(AND($C451&lt;&gt;"",$A451='Oversikt'!$C$4,$B451='Oversikt'!$C$5,$C451='Elevkort'!$C$4),MAX(I$1:I450)+1,"")</f>
        <v/>
      </c>
    </row>
    <row r="452" ht="20" customHeight="1">
      <c r="A452" s="18" t="n"/>
      <c r="B452" s="18" t="n"/>
      <c r="C452" s="18" t="n"/>
      <c r="D452" s="18" t="n"/>
      <c r="E452" s="18" t="n"/>
      <c r="F452" s="19" t="n"/>
      <c r="G452" s="18" t="n"/>
      <c r="H452">
        <f>IF(OR($E452="Raudt",$E452="Rødt",$E452="Raud",$E452="Rød"),3,IF($E452="Gult",2,IF(OR($E452="Grønt",$E452="Grøn",$E452="Grønn"),1,0)))</f>
        <v/>
      </c>
      <c r="I452">
        <f>IF(AND($C452&lt;&gt;"",$A452='Oversikt'!$C$4,$B452='Oversikt'!$C$5,$C452='Elevkort'!$C$4),MAX(I$1:I451)+1,"")</f>
        <v/>
      </c>
    </row>
    <row r="453" ht="20" customHeight="1">
      <c r="A453" s="18" t="n"/>
      <c r="B453" s="18" t="n"/>
      <c r="C453" s="18" t="n"/>
      <c r="D453" s="18" t="n"/>
      <c r="E453" s="18" t="n"/>
      <c r="F453" s="19" t="n"/>
      <c r="G453" s="18" t="n"/>
      <c r="H453">
        <f>IF(OR($E453="Raudt",$E453="Rødt",$E453="Raud",$E453="Rød"),3,IF($E453="Gult",2,IF(OR($E453="Grønt",$E453="Grøn",$E453="Grønn"),1,0)))</f>
        <v/>
      </c>
      <c r="I453">
        <f>IF(AND($C453&lt;&gt;"",$A453='Oversikt'!$C$4,$B453='Oversikt'!$C$5,$C453='Elevkort'!$C$4),MAX(I$1:I452)+1,"")</f>
        <v/>
      </c>
    </row>
    <row r="454" ht="20" customHeight="1">
      <c r="A454" s="18" t="n"/>
      <c r="B454" s="18" t="n"/>
      <c r="C454" s="18" t="n"/>
      <c r="D454" s="18" t="n"/>
      <c r="E454" s="18" t="n"/>
      <c r="F454" s="19" t="n"/>
      <c r="G454" s="18" t="n"/>
      <c r="H454">
        <f>IF(OR($E454="Raudt",$E454="Rødt",$E454="Raud",$E454="Rød"),3,IF($E454="Gult",2,IF(OR($E454="Grønt",$E454="Grøn",$E454="Grønn"),1,0)))</f>
        <v/>
      </c>
      <c r="I454">
        <f>IF(AND($C454&lt;&gt;"",$A454='Oversikt'!$C$4,$B454='Oversikt'!$C$5,$C454='Elevkort'!$C$4),MAX(I$1:I453)+1,"")</f>
        <v/>
      </c>
    </row>
    <row r="455" ht="20" customHeight="1">
      <c r="A455" s="18" t="n"/>
      <c r="B455" s="18" t="n"/>
      <c r="C455" s="18" t="n"/>
      <c r="D455" s="18" t="n"/>
      <c r="E455" s="18" t="n"/>
      <c r="F455" s="19" t="n"/>
      <c r="G455" s="18" t="n"/>
      <c r="H455">
        <f>IF(OR($E455="Raudt",$E455="Rødt",$E455="Raud",$E455="Rød"),3,IF($E455="Gult",2,IF(OR($E455="Grønt",$E455="Grøn",$E455="Grønn"),1,0)))</f>
        <v/>
      </c>
      <c r="I455">
        <f>IF(AND($C455&lt;&gt;"",$A455='Oversikt'!$C$4,$B455='Oversikt'!$C$5,$C455='Elevkort'!$C$4),MAX(I$1:I454)+1,"")</f>
        <v/>
      </c>
    </row>
    <row r="456" ht="20" customHeight="1">
      <c r="A456" s="18" t="n"/>
      <c r="B456" s="18" t="n"/>
      <c r="C456" s="18" t="n"/>
      <c r="D456" s="18" t="n"/>
      <c r="E456" s="18" t="n"/>
      <c r="F456" s="19" t="n"/>
      <c r="G456" s="18" t="n"/>
      <c r="H456">
        <f>IF(OR($E456="Raudt",$E456="Rødt",$E456="Raud",$E456="Rød"),3,IF($E456="Gult",2,IF(OR($E456="Grønt",$E456="Grøn",$E456="Grønn"),1,0)))</f>
        <v/>
      </c>
      <c r="I456">
        <f>IF(AND($C456&lt;&gt;"",$A456='Oversikt'!$C$4,$B456='Oversikt'!$C$5,$C456='Elevkort'!$C$4),MAX(I$1:I455)+1,"")</f>
        <v/>
      </c>
    </row>
    <row r="457" ht="20" customHeight="1">
      <c r="A457" s="18" t="n"/>
      <c r="B457" s="18" t="n"/>
      <c r="C457" s="18" t="n"/>
      <c r="D457" s="18" t="n"/>
      <c r="E457" s="18" t="n"/>
      <c r="F457" s="19" t="n"/>
      <c r="G457" s="18" t="n"/>
      <c r="H457">
        <f>IF(OR($E457="Raudt",$E457="Rødt",$E457="Raud",$E457="Rød"),3,IF($E457="Gult",2,IF(OR($E457="Grønt",$E457="Grøn",$E457="Grønn"),1,0)))</f>
        <v/>
      </c>
      <c r="I457">
        <f>IF(AND($C457&lt;&gt;"",$A457='Oversikt'!$C$4,$B457='Oversikt'!$C$5,$C457='Elevkort'!$C$4),MAX(I$1:I456)+1,"")</f>
        <v/>
      </c>
    </row>
    <row r="458" ht="20" customHeight="1">
      <c r="A458" s="18" t="n"/>
      <c r="B458" s="18" t="n"/>
      <c r="C458" s="18" t="n"/>
      <c r="D458" s="18" t="n"/>
      <c r="E458" s="18" t="n"/>
      <c r="F458" s="19" t="n"/>
      <c r="G458" s="18" t="n"/>
      <c r="H458">
        <f>IF(OR($E458="Raudt",$E458="Rødt",$E458="Raud",$E458="Rød"),3,IF($E458="Gult",2,IF(OR($E458="Grønt",$E458="Grøn",$E458="Grønn"),1,0)))</f>
        <v/>
      </c>
      <c r="I458">
        <f>IF(AND($C458&lt;&gt;"",$A458='Oversikt'!$C$4,$B458='Oversikt'!$C$5,$C458='Elevkort'!$C$4),MAX(I$1:I457)+1,"")</f>
        <v/>
      </c>
    </row>
    <row r="459" ht="20" customHeight="1">
      <c r="A459" s="18" t="n"/>
      <c r="B459" s="18" t="n"/>
      <c r="C459" s="18" t="n"/>
      <c r="D459" s="18" t="n"/>
      <c r="E459" s="18" t="n"/>
      <c r="F459" s="19" t="n"/>
      <c r="G459" s="18" t="n"/>
      <c r="H459">
        <f>IF(OR($E459="Raudt",$E459="Rødt",$E459="Raud",$E459="Rød"),3,IF($E459="Gult",2,IF(OR($E459="Grønt",$E459="Grøn",$E459="Grønn"),1,0)))</f>
        <v/>
      </c>
      <c r="I459">
        <f>IF(AND($C459&lt;&gt;"",$A459='Oversikt'!$C$4,$B459='Oversikt'!$C$5,$C459='Elevkort'!$C$4),MAX(I$1:I458)+1,"")</f>
        <v/>
      </c>
    </row>
    <row r="460" ht="20" customHeight="1">
      <c r="A460" s="18" t="n"/>
      <c r="B460" s="18" t="n"/>
      <c r="C460" s="18" t="n"/>
      <c r="D460" s="18" t="n"/>
      <c r="E460" s="18" t="n"/>
      <c r="F460" s="19" t="n"/>
      <c r="G460" s="18" t="n"/>
      <c r="H460">
        <f>IF(OR($E460="Raudt",$E460="Rødt",$E460="Raud",$E460="Rød"),3,IF($E460="Gult",2,IF(OR($E460="Grønt",$E460="Grøn",$E460="Grønn"),1,0)))</f>
        <v/>
      </c>
      <c r="I460">
        <f>IF(AND($C460&lt;&gt;"",$A460='Oversikt'!$C$4,$B460='Oversikt'!$C$5,$C460='Elevkort'!$C$4),MAX(I$1:I459)+1,"")</f>
        <v/>
      </c>
    </row>
    <row r="461" ht="20" customHeight="1">
      <c r="A461" s="18" t="n"/>
      <c r="B461" s="18" t="n"/>
      <c r="C461" s="18" t="n"/>
      <c r="D461" s="18" t="n"/>
      <c r="E461" s="18" t="n"/>
      <c r="F461" s="19" t="n"/>
      <c r="G461" s="18" t="n"/>
      <c r="H461">
        <f>IF(OR($E461="Raudt",$E461="Rødt",$E461="Raud",$E461="Rød"),3,IF($E461="Gult",2,IF(OR($E461="Grønt",$E461="Grøn",$E461="Grønn"),1,0)))</f>
        <v/>
      </c>
      <c r="I461">
        <f>IF(AND($C461&lt;&gt;"",$A461='Oversikt'!$C$4,$B461='Oversikt'!$C$5,$C461='Elevkort'!$C$4),MAX(I$1:I460)+1,"")</f>
        <v/>
      </c>
    </row>
    <row r="462" ht="20" customHeight="1">
      <c r="A462" s="18" t="n"/>
      <c r="B462" s="18" t="n"/>
      <c r="C462" s="18" t="n"/>
      <c r="D462" s="18" t="n"/>
      <c r="E462" s="18" t="n"/>
      <c r="F462" s="19" t="n"/>
      <c r="G462" s="18" t="n"/>
      <c r="H462">
        <f>IF(OR($E462="Raudt",$E462="Rødt",$E462="Raud",$E462="Rød"),3,IF($E462="Gult",2,IF(OR($E462="Grønt",$E462="Grøn",$E462="Grønn"),1,0)))</f>
        <v/>
      </c>
      <c r="I462">
        <f>IF(AND($C462&lt;&gt;"",$A462='Oversikt'!$C$4,$B462='Oversikt'!$C$5,$C462='Elevkort'!$C$4),MAX(I$1:I461)+1,"")</f>
        <v/>
      </c>
    </row>
    <row r="463" ht="20" customHeight="1">
      <c r="A463" s="18" t="n"/>
      <c r="B463" s="18" t="n"/>
      <c r="C463" s="18" t="n"/>
      <c r="D463" s="18" t="n"/>
      <c r="E463" s="18" t="n"/>
      <c r="F463" s="19" t="n"/>
      <c r="G463" s="18" t="n"/>
      <c r="H463">
        <f>IF(OR($E463="Raudt",$E463="Rødt",$E463="Raud",$E463="Rød"),3,IF($E463="Gult",2,IF(OR($E463="Grønt",$E463="Grøn",$E463="Grønn"),1,0)))</f>
        <v/>
      </c>
      <c r="I463">
        <f>IF(AND($C463&lt;&gt;"",$A463='Oversikt'!$C$4,$B463='Oversikt'!$C$5,$C463='Elevkort'!$C$4),MAX(I$1:I462)+1,"")</f>
        <v/>
      </c>
    </row>
    <row r="464" ht="20" customHeight="1">
      <c r="A464" s="18" t="n"/>
      <c r="B464" s="18" t="n"/>
      <c r="C464" s="18" t="n"/>
      <c r="D464" s="18" t="n"/>
      <c r="E464" s="18" t="n"/>
      <c r="F464" s="19" t="n"/>
      <c r="G464" s="18" t="n"/>
      <c r="H464">
        <f>IF(OR($E464="Raudt",$E464="Rødt",$E464="Raud",$E464="Rød"),3,IF($E464="Gult",2,IF(OR($E464="Grønt",$E464="Grøn",$E464="Grønn"),1,0)))</f>
        <v/>
      </c>
      <c r="I464">
        <f>IF(AND($C464&lt;&gt;"",$A464='Oversikt'!$C$4,$B464='Oversikt'!$C$5,$C464='Elevkort'!$C$4),MAX(I$1:I463)+1,"")</f>
        <v/>
      </c>
    </row>
    <row r="465" ht="20" customHeight="1">
      <c r="A465" s="18" t="n"/>
      <c r="B465" s="18" t="n"/>
      <c r="C465" s="18" t="n"/>
      <c r="D465" s="18" t="n"/>
      <c r="E465" s="18" t="n"/>
      <c r="F465" s="19" t="n"/>
      <c r="G465" s="18" t="n"/>
      <c r="H465">
        <f>IF(OR($E465="Raudt",$E465="Rødt",$E465="Raud",$E465="Rød"),3,IF($E465="Gult",2,IF(OR($E465="Grønt",$E465="Grøn",$E465="Grønn"),1,0)))</f>
        <v/>
      </c>
      <c r="I465">
        <f>IF(AND($C465&lt;&gt;"",$A465='Oversikt'!$C$4,$B465='Oversikt'!$C$5,$C465='Elevkort'!$C$4),MAX(I$1:I464)+1,"")</f>
        <v/>
      </c>
    </row>
    <row r="466" ht="20" customHeight="1">
      <c r="A466" s="18" t="n"/>
      <c r="B466" s="18" t="n"/>
      <c r="C466" s="18" t="n"/>
      <c r="D466" s="18" t="n"/>
      <c r="E466" s="18" t="n"/>
      <c r="F466" s="19" t="n"/>
      <c r="G466" s="18" t="n"/>
      <c r="H466">
        <f>IF(OR($E466="Raudt",$E466="Rødt",$E466="Raud",$E466="Rød"),3,IF($E466="Gult",2,IF(OR($E466="Grønt",$E466="Grøn",$E466="Grønn"),1,0)))</f>
        <v/>
      </c>
      <c r="I466">
        <f>IF(AND($C466&lt;&gt;"",$A466='Oversikt'!$C$4,$B466='Oversikt'!$C$5,$C466='Elevkort'!$C$4),MAX(I$1:I465)+1,"")</f>
        <v/>
      </c>
    </row>
    <row r="467" ht="20" customHeight="1">
      <c r="A467" s="18" t="n"/>
      <c r="B467" s="18" t="n"/>
      <c r="C467" s="18" t="n"/>
      <c r="D467" s="18" t="n"/>
      <c r="E467" s="18" t="n"/>
      <c r="F467" s="19" t="n"/>
      <c r="G467" s="18" t="n"/>
      <c r="H467">
        <f>IF(OR($E467="Raudt",$E467="Rødt",$E467="Raud",$E467="Rød"),3,IF($E467="Gult",2,IF(OR($E467="Grønt",$E467="Grøn",$E467="Grønn"),1,0)))</f>
        <v/>
      </c>
      <c r="I467">
        <f>IF(AND($C467&lt;&gt;"",$A467='Oversikt'!$C$4,$B467='Oversikt'!$C$5,$C467='Elevkort'!$C$4),MAX(I$1:I466)+1,"")</f>
        <v/>
      </c>
    </row>
    <row r="468" ht="20" customHeight="1">
      <c r="A468" s="18" t="n"/>
      <c r="B468" s="18" t="n"/>
      <c r="C468" s="18" t="n"/>
      <c r="D468" s="18" t="n"/>
      <c r="E468" s="18" t="n"/>
      <c r="F468" s="19" t="n"/>
      <c r="G468" s="18" t="n"/>
      <c r="H468">
        <f>IF(OR($E468="Raudt",$E468="Rødt",$E468="Raud",$E468="Rød"),3,IF($E468="Gult",2,IF(OR($E468="Grønt",$E468="Grøn",$E468="Grønn"),1,0)))</f>
        <v/>
      </c>
      <c r="I468">
        <f>IF(AND($C468&lt;&gt;"",$A468='Oversikt'!$C$4,$B468='Oversikt'!$C$5,$C468='Elevkort'!$C$4),MAX(I$1:I467)+1,"")</f>
        <v/>
      </c>
    </row>
    <row r="469" ht="20" customHeight="1">
      <c r="A469" s="18" t="n"/>
      <c r="B469" s="18" t="n"/>
      <c r="C469" s="18" t="n"/>
      <c r="D469" s="18" t="n"/>
      <c r="E469" s="18" t="n"/>
      <c r="F469" s="19" t="n"/>
      <c r="G469" s="18" t="n"/>
      <c r="H469">
        <f>IF(OR($E469="Raudt",$E469="Rødt",$E469="Raud",$E469="Rød"),3,IF($E469="Gult",2,IF(OR($E469="Grønt",$E469="Grøn",$E469="Grønn"),1,0)))</f>
        <v/>
      </c>
      <c r="I469">
        <f>IF(AND($C469&lt;&gt;"",$A469='Oversikt'!$C$4,$B469='Oversikt'!$C$5,$C469='Elevkort'!$C$4),MAX(I$1:I468)+1,"")</f>
        <v/>
      </c>
    </row>
    <row r="470" ht="20" customHeight="1">
      <c r="A470" s="18" t="n"/>
      <c r="B470" s="18" t="n"/>
      <c r="C470" s="18" t="n"/>
      <c r="D470" s="18" t="n"/>
      <c r="E470" s="18" t="n"/>
      <c r="F470" s="19" t="n"/>
      <c r="G470" s="18" t="n"/>
      <c r="H470">
        <f>IF(OR($E470="Raudt",$E470="Rødt",$E470="Raud",$E470="Rød"),3,IF($E470="Gult",2,IF(OR($E470="Grønt",$E470="Grøn",$E470="Grønn"),1,0)))</f>
        <v/>
      </c>
      <c r="I470">
        <f>IF(AND($C470&lt;&gt;"",$A470='Oversikt'!$C$4,$B470='Oversikt'!$C$5,$C470='Elevkort'!$C$4),MAX(I$1:I469)+1,"")</f>
        <v/>
      </c>
    </row>
    <row r="471" ht="20" customHeight="1">
      <c r="A471" s="18" t="n"/>
      <c r="B471" s="18" t="n"/>
      <c r="C471" s="18" t="n"/>
      <c r="D471" s="18" t="n"/>
      <c r="E471" s="18" t="n"/>
      <c r="F471" s="19" t="n"/>
      <c r="G471" s="18" t="n"/>
      <c r="H471">
        <f>IF(OR($E471="Raudt",$E471="Rødt",$E471="Raud",$E471="Rød"),3,IF($E471="Gult",2,IF(OR($E471="Grønt",$E471="Grøn",$E471="Grønn"),1,0)))</f>
        <v/>
      </c>
      <c r="I471">
        <f>IF(AND($C471&lt;&gt;"",$A471='Oversikt'!$C$4,$B471='Oversikt'!$C$5,$C471='Elevkort'!$C$4),MAX(I$1:I470)+1,"")</f>
        <v/>
      </c>
    </row>
    <row r="472" ht="20" customHeight="1">
      <c r="A472" s="18" t="n"/>
      <c r="B472" s="18" t="n"/>
      <c r="C472" s="18" t="n"/>
      <c r="D472" s="18" t="n"/>
      <c r="E472" s="18" t="n"/>
      <c r="F472" s="19" t="n"/>
      <c r="G472" s="18" t="n"/>
      <c r="H472">
        <f>IF(OR($E472="Raudt",$E472="Rødt",$E472="Raud",$E472="Rød"),3,IF($E472="Gult",2,IF(OR($E472="Grønt",$E472="Grøn",$E472="Grønn"),1,0)))</f>
        <v/>
      </c>
      <c r="I472">
        <f>IF(AND($C472&lt;&gt;"",$A472='Oversikt'!$C$4,$B472='Oversikt'!$C$5,$C472='Elevkort'!$C$4),MAX(I$1:I471)+1,"")</f>
        <v/>
      </c>
    </row>
    <row r="473" ht="20" customHeight="1">
      <c r="A473" s="18" t="n"/>
      <c r="B473" s="18" t="n"/>
      <c r="C473" s="18" t="n"/>
      <c r="D473" s="18" t="n"/>
      <c r="E473" s="18" t="n"/>
      <c r="F473" s="19" t="n"/>
      <c r="G473" s="18" t="n"/>
      <c r="H473">
        <f>IF(OR($E473="Raudt",$E473="Rødt",$E473="Raud",$E473="Rød"),3,IF($E473="Gult",2,IF(OR($E473="Grønt",$E473="Grøn",$E473="Grønn"),1,0)))</f>
        <v/>
      </c>
      <c r="I473">
        <f>IF(AND($C473&lt;&gt;"",$A473='Oversikt'!$C$4,$B473='Oversikt'!$C$5,$C473='Elevkort'!$C$4),MAX(I$1:I472)+1,"")</f>
        <v/>
      </c>
    </row>
    <row r="474" ht="20" customHeight="1">
      <c r="A474" s="18" t="n"/>
      <c r="B474" s="18" t="n"/>
      <c r="C474" s="18" t="n"/>
      <c r="D474" s="18" t="n"/>
      <c r="E474" s="18" t="n"/>
      <c r="F474" s="19" t="n"/>
      <c r="G474" s="18" t="n"/>
      <c r="H474">
        <f>IF(OR($E474="Raudt",$E474="Rødt",$E474="Raud",$E474="Rød"),3,IF($E474="Gult",2,IF(OR($E474="Grønt",$E474="Grøn",$E474="Grønn"),1,0)))</f>
        <v/>
      </c>
      <c r="I474">
        <f>IF(AND($C474&lt;&gt;"",$A474='Oversikt'!$C$4,$B474='Oversikt'!$C$5,$C474='Elevkort'!$C$4),MAX(I$1:I473)+1,"")</f>
        <v/>
      </c>
    </row>
    <row r="475" ht="20" customHeight="1">
      <c r="A475" s="18" t="n"/>
      <c r="B475" s="18" t="n"/>
      <c r="C475" s="18" t="n"/>
      <c r="D475" s="18" t="n"/>
      <c r="E475" s="18" t="n"/>
      <c r="F475" s="19" t="n"/>
      <c r="G475" s="18" t="n"/>
      <c r="H475">
        <f>IF(OR($E475="Raudt",$E475="Rødt",$E475="Raud",$E475="Rød"),3,IF($E475="Gult",2,IF(OR($E475="Grønt",$E475="Grøn",$E475="Grønn"),1,0)))</f>
        <v/>
      </c>
      <c r="I475">
        <f>IF(AND($C475&lt;&gt;"",$A475='Oversikt'!$C$4,$B475='Oversikt'!$C$5,$C475='Elevkort'!$C$4),MAX(I$1:I474)+1,"")</f>
        <v/>
      </c>
    </row>
    <row r="476" ht="20" customHeight="1">
      <c r="A476" s="18" t="n"/>
      <c r="B476" s="18" t="n"/>
      <c r="C476" s="18" t="n"/>
      <c r="D476" s="18" t="n"/>
      <c r="E476" s="18" t="n"/>
      <c r="F476" s="19" t="n"/>
      <c r="G476" s="18" t="n"/>
      <c r="H476">
        <f>IF(OR($E476="Raudt",$E476="Rødt",$E476="Raud",$E476="Rød"),3,IF($E476="Gult",2,IF(OR($E476="Grønt",$E476="Grøn",$E476="Grønn"),1,0)))</f>
        <v/>
      </c>
      <c r="I476">
        <f>IF(AND($C476&lt;&gt;"",$A476='Oversikt'!$C$4,$B476='Oversikt'!$C$5,$C476='Elevkort'!$C$4),MAX(I$1:I475)+1,"")</f>
        <v/>
      </c>
    </row>
    <row r="477" ht="20" customHeight="1">
      <c r="A477" s="18" t="n"/>
      <c r="B477" s="18" t="n"/>
      <c r="C477" s="18" t="n"/>
      <c r="D477" s="18" t="n"/>
      <c r="E477" s="18" t="n"/>
      <c r="F477" s="19" t="n"/>
      <c r="G477" s="18" t="n"/>
      <c r="H477">
        <f>IF(OR($E477="Raudt",$E477="Rødt",$E477="Raud",$E477="Rød"),3,IF($E477="Gult",2,IF(OR($E477="Grønt",$E477="Grøn",$E477="Grønn"),1,0)))</f>
        <v/>
      </c>
      <c r="I477">
        <f>IF(AND($C477&lt;&gt;"",$A477='Oversikt'!$C$4,$B477='Oversikt'!$C$5,$C477='Elevkort'!$C$4),MAX(I$1:I476)+1,"")</f>
        <v/>
      </c>
    </row>
    <row r="478" ht="20" customHeight="1">
      <c r="A478" s="18" t="n"/>
      <c r="B478" s="18" t="n"/>
      <c r="C478" s="18" t="n"/>
      <c r="D478" s="18" t="n"/>
      <c r="E478" s="18" t="n"/>
      <c r="F478" s="19" t="n"/>
      <c r="G478" s="18" t="n"/>
      <c r="H478">
        <f>IF(OR($E478="Raudt",$E478="Rødt",$E478="Raud",$E478="Rød"),3,IF($E478="Gult",2,IF(OR($E478="Grønt",$E478="Grøn",$E478="Grønn"),1,0)))</f>
        <v/>
      </c>
      <c r="I478">
        <f>IF(AND($C478&lt;&gt;"",$A478='Oversikt'!$C$4,$B478='Oversikt'!$C$5,$C478='Elevkort'!$C$4),MAX(I$1:I477)+1,"")</f>
        <v/>
      </c>
    </row>
    <row r="479" ht="20" customHeight="1">
      <c r="A479" s="18" t="n"/>
      <c r="B479" s="18" t="n"/>
      <c r="C479" s="18" t="n"/>
      <c r="D479" s="18" t="n"/>
      <c r="E479" s="18" t="n"/>
      <c r="F479" s="19" t="n"/>
      <c r="G479" s="18" t="n"/>
      <c r="H479">
        <f>IF(OR($E479="Raudt",$E479="Rødt",$E479="Raud",$E479="Rød"),3,IF($E479="Gult",2,IF(OR($E479="Grønt",$E479="Grøn",$E479="Grønn"),1,0)))</f>
        <v/>
      </c>
      <c r="I479">
        <f>IF(AND($C479&lt;&gt;"",$A479='Oversikt'!$C$4,$B479='Oversikt'!$C$5,$C479='Elevkort'!$C$4),MAX(I$1:I478)+1,"")</f>
        <v/>
      </c>
    </row>
    <row r="480" ht="20" customHeight="1">
      <c r="A480" s="18" t="n"/>
      <c r="B480" s="18" t="n"/>
      <c r="C480" s="18" t="n"/>
      <c r="D480" s="18" t="n"/>
      <c r="E480" s="18" t="n"/>
      <c r="F480" s="19" t="n"/>
      <c r="G480" s="18" t="n"/>
      <c r="H480">
        <f>IF(OR($E480="Raudt",$E480="Rødt",$E480="Raud",$E480="Rød"),3,IF($E480="Gult",2,IF(OR($E480="Grønt",$E480="Grøn",$E480="Grønn"),1,0)))</f>
        <v/>
      </c>
      <c r="I480">
        <f>IF(AND($C480&lt;&gt;"",$A480='Oversikt'!$C$4,$B480='Oversikt'!$C$5,$C480='Elevkort'!$C$4),MAX(I$1:I479)+1,"")</f>
        <v/>
      </c>
    </row>
    <row r="481" ht="20" customHeight="1">
      <c r="A481" s="18" t="n"/>
      <c r="B481" s="18" t="n"/>
      <c r="C481" s="18" t="n"/>
      <c r="D481" s="18" t="n"/>
      <c r="E481" s="18" t="n"/>
      <c r="F481" s="19" t="n"/>
      <c r="G481" s="18" t="n"/>
      <c r="H481">
        <f>IF(OR($E481="Raudt",$E481="Rødt",$E481="Raud",$E481="Rød"),3,IF($E481="Gult",2,IF(OR($E481="Grønt",$E481="Grøn",$E481="Grønn"),1,0)))</f>
        <v/>
      </c>
      <c r="I481">
        <f>IF(AND($C481&lt;&gt;"",$A481='Oversikt'!$C$4,$B481='Oversikt'!$C$5,$C481='Elevkort'!$C$4),MAX(I$1:I480)+1,"")</f>
        <v/>
      </c>
    </row>
    <row r="482" ht="20" customHeight="1">
      <c r="A482" s="18" t="n"/>
      <c r="B482" s="18" t="n"/>
      <c r="C482" s="18" t="n"/>
      <c r="D482" s="18" t="n"/>
      <c r="E482" s="18" t="n"/>
      <c r="F482" s="19" t="n"/>
      <c r="G482" s="18" t="n"/>
      <c r="H482">
        <f>IF(OR($E482="Raudt",$E482="Rødt",$E482="Raud",$E482="Rød"),3,IF($E482="Gult",2,IF(OR($E482="Grønt",$E482="Grøn",$E482="Grønn"),1,0)))</f>
        <v/>
      </c>
      <c r="I482">
        <f>IF(AND($C482&lt;&gt;"",$A482='Oversikt'!$C$4,$B482='Oversikt'!$C$5,$C482='Elevkort'!$C$4),MAX(I$1:I481)+1,"")</f>
        <v/>
      </c>
    </row>
    <row r="483" ht="20" customHeight="1">
      <c r="A483" s="18" t="n"/>
      <c r="B483" s="18" t="n"/>
      <c r="C483" s="18" t="n"/>
      <c r="D483" s="18" t="n"/>
      <c r="E483" s="18" t="n"/>
      <c r="F483" s="19" t="n"/>
      <c r="G483" s="18" t="n"/>
      <c r="H483">
        <f>IF(OR($E483="Raudt",$E483="Rødt",$E483="Raud",$E483="Rød"),3,IF($E483="Gult",2,IF(OR($E483="Grønt",$E483="Grøn",$E483="Grønn"),1,0)))</f>
        <v/>
      </c>
      <c r="I483">
        <f>IF(AND($C483&lt;&gt;"",$A483='Oversikt'!$C$4,$B483='Oversikt'!$C$5,$C483='Elevkort'!$C$4),MAX(I$1:I482)+1,"")</f>
        <v/>
      </c>
    </row>
    <row r="484" ht="20" customHeight="1">
      <c r="A484" s="18" t="n"/>
      <c r="B484" s="18" t="n"/>
      <c r="C484" s="18" t="n"/>
      <c r="D484" s="18" t="n"/>
      <c r="E484" s="18" t="n"/>
      <c r="F484" s="19" t="n"/>
      <c r="G484" s="18" t="n"/>
      <c r="H484">
        <f>IF(OR($E484="Raudt",$E484="Rødt",$E484="Raud",$E484="Rød"),3,IF($E484="Gult",2,IF(OR($E484="Grønt",$E484="Grøn",$E484="Grønn"),1,0)))</f>
        <v/>
      </c>
      <c r="I484">
        <f>IF(AND($C484&lt;&gt;"",$A484='Oversikt'!$C$4,$B484='Oversikt'!$C$5,$C484='Elevkort'!$C$4),MAX(I$1:I483)+1,"")</f>
        <v/>
      </c>
    </row>
    <row r="485" ht="20" customHeight="1">
      <c r="A485" s="18" t="n"/>
      <c r="B485" s="18" t="n"/>
      <c r="C485" s="18" t="n"/>
      <c r="D485" s="18" t="n"/>
      <c r="E485" s="18" t="n"/>
      <c r="F485" s="19" t="n"/>
      <c r="G485" s="18" t="n"/>
      <c r="H485">
        <f>IF(OR($E485="Raudt",$E485="Rødt",$E485="Raud",$E485="Rød"),3,IF($E485="Gult",2,IF(OR($E485="Grønt",$E485="Grøn",$E485="Grønn"),1,0)))</f>
        <v/>
      </c>
      <c r="I485">
        <f>IF(AND($C485&lt;&gt;"",$A485='Oversikt'!$C$4,$B485='Oversikt'!$C$5,$C485='Elevkort'!$C$4),MAX(I$1:I484)+1,"")</f>
        <v/>
      </c>
    </row>
    <row r="486" ht="20" customHeight="1">
      <c r="A486" s="18" t="n"/>
      <c r="B486" s="18" t="n"/>
      <c r="C486" s="18" t="n"/>
      <c r="D486" s="18" t="n"/>
      <c r="E486" s="18" t="n"/>
      <c r="F486" s="19" t="n"/>
      <c r="G486" s="18" t="n"/>
      <c r="H486">
        <f>IF(OR($E486="Raudt",$E486="Rødt",$E486="Raud",$E486="Rød"),3,IF($E486="Gult",2,IF(OR($E486="Grønt",$E486="Grøn",$E486="Grønn"),1,0)))</f>
        <v/>
      </c>
      <c r="I486">
        <f>IF(AND($C486&lt;&gt;"",$A486='Oversikt'!$C$4,$B486='Oversikt'!$C$5,$C486='Elevkort'!$C$4),MAX(I$1:I485)+1,"")</f>
        <v/>
      </c>
    </row>
    <row r="487" ht="20" customHeight="1">
      <c r="A487" s="18" t="n"/>
      <c r="B487" s="18" t="n"/>
      <c r="C487" s="18" t="n"/>
      <c r="D487" s="18" t="n"/>
      <c r="E487" s="18" t="n"/>
      <c r="F487" s="19" t="n"/>
      <c r="G487" s="18" t="n"/>
      <c r="H487">
        <f>IF(OR($E487="Raudt",$E487="Rødt",$E487="Raud",$E487="Rød"),3,IF($E487="Gult",2,IF(OR($E487="Grønt",$E487="Grøn",$E487="Grønn"),1,0)))</f>
        <v/>
      </c>
      <c r="I487">
        <f>IF(AND($C487&lt;&gt;"",$A487='Oversikt'!$C$4,$B487='Oversikt'!$C$5,$C487='Elevkort'!$C$4),MAX(I$1:I486)+1,"")</f>
        <v/>
      </c>
    </row>
    <row r="488" ht="20" customHeight="1">
      <c r="A488" s="18" t="n"/>
      <c r="B488" s="18" t="n"/>
      <c r="C488" s="18" t="n"/>
      <c r="D488" s="18" t="n"/>
      <c r="E488" s="18" t="n"/>
      <c r="F488" s="19" t="n"/>
      <c r="G488" s="18" t="n"/>
      <c r="H488">
        <f>IF(OR($E488="Raudt",$E488="Rødt",$E488="Raud",$E488="Rød"),3,IF($E488="Gult",2,IF(OR($E488="Grønt",$E488="Grøn",$E488="Grønn"),1,0)))</f>
        <v/>
      </c>
      <c r="I488">
        <f>IF(AND($C488&lt;&gt;"",$A488='Oversikt'!$C$4,$B488='Oversikt'!$C$5,$C488='Elevkort'!$C$4),MAX(I$1:I487)+1,"")</f>
        <v/>
      </c>
    </row>
    <row r="489" ht="20" customHeight="1">
      <c r="A489" s="18" t="n"/>
      <c r="B489" s="18" t="n"/>
      <c r="C489" s="18" t="n"/>
      <c r="D489" s="18" t="n"/>
      <c r="E489" s="18" t="n"/>
      <c r="F489" s="19" t="n"/>
      <c r="G489" s="18" t="n"/>
      <c r="H489">
        <f>IF(OR($E489="Raudt",$E489="Rødt",$E489="Raud",$E489="Rød"),3,IF($E489="Gult",2,IF(OR($E489="Grønt",$E489="Grøn",$E489="Grønn"),1,0)))</f>
        <v/>
      </c>
      <c r="I489">
        <f>IF(AND($C489&lt;&gt;"",$A489='Oversikt'!$C$4,$B489='Oversikt'!$C$5,$C489='Elevkort'!$C$4),MAX(I$1:I488)+1,"")</f>
        <v/>
      </c>
    </row>
    <row r="490" ht="20" customHeight="1">
      <c r="A490" s="18" t="n"/>
      <c r="B490" s="18" t="n"/>
      <c r="C490" s="18" t="n"/>
      <c r="D490" s="18" t="n"/>
      <c r="E490" s="18" t="n"/>
      <c r="F490" s="19" t="n"/>
      <c r="G490" s="18" t="n"/>
      <c r="H490">
        <f>IF(OR($E490="Raudt",$E490="Rødt",$E490="Raud",$E490="Rød"),3,IF($E490="Gult",2,IF(OR($E490="Grønt",$E490="Grøn",$E490="Grønn"),1,0)))</f>
        <v/>
      </c>
      <c r="I490">
        <f>IF(AND($C490&lt;&gt;"",$A490='Oversikt'!$C$4,$B490='Oversikt'!$C$5,$C490='Elevkort'!$C$4),MAX(I$1:I489)+1,"")</f>
        <v/>
      </c>
    </row>
    <row r="491" ht="20" customHeight="1">
      <c r="A491" s="18" t="n"/>
      <c r="B491" s="18" t="n"/>
      <c r="C491" s="18" t="n"/>
      <c r="D491" s="18" t="n"/>
      <c r="E491" s="18" t="n"/>
      <c r="F491" s="19" t="n"/>
      <c r="G491" s="18" t="n"/>
      <c r="H491">
        <f>IF(OR($E491="Raudt",$E491="Rødt",$E491="Raud",$E491="Rød"),3,IF($E491="Gult",2,IF(OR($E491="Grønt",$E491="Grøn",$E491="Grønn"),1,0)))</f>
        <v/>
      </c>
      <c r="I491">
        <f>IF(AND($C491&lt;&gt;"",$A491='Oversikt'!$C$4,$B491='Oversikt'!$C$5,$C491='Elevkort'!$C$4),MAX(I$1:I490)+1,"")</f>
        <v/>
      </c>
    </row>
    <row r="492" ht="20" customHeight="1">
      <c r="A492" s="18" t="n"/>
      <c r="B492" s="18" t="n"/>
      <c r="C492" s="18" t="n"/>
      <c r="D492" s="18" t="n"/>
      <c r="E492" s="18" t="n"/>
      <c r="F492" s="19" t="n"/>
      <c r="G492" s="18" t="n"/>
      <c r="H492">
        <f>IF(OR($E492="Raudt",$E492="Rødt",$E492="Raud",$E492="Rød"),3,IF($E492="Gult",2,IF(OR($E492="Grønt",$E492="Grøn",$E492="Grønn"),1,0)))</f>
        <v/>
      </c>
      <c r="I492">
        <f>IF(AND($C492&lt;&gt;"",$A492='Oversikt'!$C$4,$B492='Oversikt'!$C$5,$C492='Elevkort'!$C$4),MAX(I$1:I491)+1,"")</f>
        <v/>
      </c>
    </row>
    <row r="493" ht="20" customHeight="1">
      <c r="A493" s="18" t="n"/>
      <c r="B493" s="18" t="n"/>
      <c r="C493" s="18" t="n"/>
      <c r="D493" s="18" t="n"/>
      <c r="E493" s="18" t="n"/>
      <c r="F493" s="19" t="n"/>
      <c r="G493" s="18" t="n"/>
      <c r="H493">
        <f>IF(OR($E493="Raudt",$E493="Rødt",$E493="Raud",$E493="Rød"),3,IF($E493="Gult",2,IF(OR($E493="Grønt",$E493="Grøn",$E493="Grønn"),1,0)))</f>
        <v/>
      </c>
      <c r="I493">
        <f>IF(AND($C493&lt;&gt;"",$A493='Oversikt'!$C$4,$B493='Oversikt'!$C$5,$C493='Elevkort'!$C$4),MAX(I$1:I492)+1,"")</f>
        <v/>
      </c>
    </row>
    <row r="494" ht="20" customHeight="1">
      <c r="A494" s="18" t="n"/>
      <c r="B494" s="18" t="n"/>
      <c r="C494" s="18" t="n"/>
      <c r="D494" s="18" t="n"/>
      <c r="E494" s="18" t="n"/>
      <c r="F494" s="19" t="n"/>
      <c r="G494" s="18" t="n"/>
      <c r="H494">
        <f>IF(OR($E494="Raudt",$E494="Rødt",$E494="Raud",$E494="Rød"),3,IF($E494="Gult",2,IF(OR($E494="Grønt",$E494="Grøn",$E494="Grønn"),1,0)))</f>
        <v/>
      </c>
      <c r="I494">
        <f>IF(AND($C494&lt;&gt;"",$A494='Oversikt'!$C$4,$B494='Oversikt'!$C$5,$C494='Elevkort'!$C$4),MAX(I$1:I493)+1,"")</f>
        <v/>
      </c>
    </row>
    <row r="495" ht="20" customHeight="1">
      <c r="A495" s="18" t="n"/>
      <c r="B495" s="18" t="n"/>
      <c r="C495" s="18" t="n"/>
      <c r="D495" s="18" t="n"/>
      <c r="E495" s="18" t="n"/>
      <c r="F495" s="19" t="n"/>
      <c r="G495" s="18" t="n"/>
      <c r="H495">
        <f>IF(OR($E495="Raudt",$E495="Rødt",$E495="Raud",$E495="Rød"),3,IF($E495="Gult",2,IF(OR($E495="Grønt",$E495="Grøn",$E495="Grønn"),1,0)))</f>
        <v/>
      </c>
      <c r="I495">
        <f>IF(AND($C495&lt;&gt;"",$A495='Oversikt'!$C$4,$B495='Oversikt'!$C$5,$C495='Elevkort'!$C$4),MAX(I$1:I494)+1,"")</f>
        <v/>
      </c>
    </row>
    <row r="496" ht="20" customHeight="1">
      <c r="A496" s="18" t="n"/>
      <c r="B496" s="18" t="n"/>
      <c r="C496" s="18" t="n"/>
      <c r="D496" s="18" t="n"/>
      <c r="E496" s="18" t="n"/>
      <c r="F496" s="19" t="n"/>
      <c r="G496" s="18" t="n"/>
      <c r="H496">
        <f>IF(OR($E496="Raudt",$E496="Rødt",$E496="Raud",$E496="Rød"),3,IF($E496="Gult",2,IF(OR($E496="Grønt",$E496="Grøn",$E496="Grønn"),1,0)))</f>
        <v/>
      </c>
      <c r="I496">
        <f>IF(AND($C496&lt;&gt;"",$A496='Oversikt'!$C$4,$B496='Oversikt'!$C$5,$C496='Elevkort'!$C$4),MAX(I$1:I495)+1,"")</f>
        <v/>
      </c>
    </row>
    <row r="497" ht="20" customHeight="1">
      <c r="A497" s="18" t="n"/>
      <c r="B497" s="18" t="n"/>
      <c r="C497" s="18" t="n"/>
      <c r="D497" s="18" t="n"/>
      <c r="E497" s="18" t="n"/>
      <c r="F497" s="19" t="n"/>
      <c r="G497" s="18" t="n"/>
      <c r="H497">
        <f>IF(OR($E497="Raudt",$E497="Rødt",$E497="Raud",$E497="Rød"),3,IF($E497="Gult",2,IF(OR($E497="Grønt",$E497="Grøn",$E497="Grønn"),1,0)))</f>
        <v/>
      </c>
      <c r="I497">
        <f>IF(AND($C497&lt;&gt;"",$A497='Oversikt'!$C$4,$B497='Oversikt'!$C$5,$C497='Elevkort'!$C$4),MAX(I$1:I496)+1,"")</f>
        <v/>
      </c>
    </row>
    <row r="498" ht="20" customHeight="1">
      <c r="A498" s="18" t="n"/>
      <c r="B498" s="18" t="n"/>
      <c r="C498" s="18" t="n"/>
      <c r="D498" s="18" t="n"/>
      <c r="E498" s="18" t="n"/>
      <c r="F498" s="19" t="n"/>
      <c r="G498" s="18" t="n"/>
      <c r="H498">
        <f>IF(OR($E498="Raudt",$E498="Rødt",$E498="Raud",$E498="Rød"),3,IF($E498="Gult",2,IF(OR($E498="Grønt",$E498="Grøn",$E498="Grønn"),1,0)))</f>
        <v/>
      </c>
      <c r="I498">
        <f>IF(AND($C498&lt;&gt;"",$A498='Oversikt'!$C$4,$B498='Oversikt'!$C$5,$C498='Elevkort'!$C$4),MAX(I$1:I497)+1,"")</f>
        <v/>
      </c>
    </row>
    <row r="499" ht="20" customHeight="1">
      <c r="A499" s="18" t="n"/>
      <c r="B499" s="18" t="n"/>
      <c r="C499" s="18" t="n"/>
      <c r="D499" s="18" t="n"/>
      <c r="E499" s="18" t="n"/>
      <c r="F499" s="19" t="n"/>
      <c r="G499" s="18" t="n"/>
      <c r="H499">
        <f>IF(OR($E499="Raudt",$E499="Rødt",$E499="Raud",$E499="Rød"),3,IF($E499="Gult",2,IF(OR($E499="Grønt",$E499="Grøn",$E499="Grønn"),1,0)))</f>
        <v/>
      </c>
      <c r="I499">
        <f>IF(AND($C499&lt;&gt;"",$A499='Oversikt'!$C$4,$B499='Oversikt'!$C$5,$C499='Elevkort'!$C$4),MAX(I$1:I498)+1,"")</f>
        <v/>
      </c>
    </row>
    <row r="500" ht="20" customHeight="1">
      <c r="A500" s="18" t="n"/>
      <c r="B500" s="18" t="n"/>
      <c r="C500" s="18" t="n"/>
      <c r="D500" s="18" t="n"/>
      <c r="E500" s="18" t="n"/>
      <c r="F500" s="19" t="n"/>
      <c r="G500" s="18" t="n"/>
      <c r="H500">
        <f>IF(OR($E500="Raudt",$E500="Rødt",$E500="Raud",$E500="Rød"),3,IF($E500="Gult",2,IF(OR($E500="Grønt",$E500="Grøn",$E500="Grønn"),1,0)))</f>
        <v/>
      </c>
      <c r="I500">
        <f>IF(AND($C500&lt;&gt;"",$A500='Oversikt'!$C$4,$B500='Oversikt'!$C$5,$C500='Elevkort'!$C$4),MAX(I$1:I499)+1,"")</f>
        <v/>
      </c>
    </row>
    <row r="501" ht="20" customHeight="1">
      <c r="A501" s="18" t="n"/>
      <c r="B501" s="18" t="n"/>
      <c r="C501" s="18" t="n"/>
      <c r="D501" s="18" t="n"/>
      <c r="E501" s="18" t="n"/>
      <c r="F501" s="19" t="n"/>
      <c r="G501" s="18" t="n"/>
      <c r="H501">
        <f>IF(OR($E501="Raudt",$E501="Rødt",$E501="Raud",$E501="Rød"),3,IF($E501="Gult",2,IF(OR($E501="Grønt",$E501="Grøn",$E501="Grønn"),1,0)))</f>
        <v/>
      </c>
      <c r="I501">
        <f>IF(AND($C501&lt;&gt;"",$A501='Oversikt'!$C$4,$B501='Oversikt'!$C$5,$C501='Elevkort'!$C$4),MAX(I$1:I500)+1,"")</f>
        <v/>
      </c>
    </row>
    <row r="502" ht="20" customHeight="1">
      <c r="A502" s="18" t="n"/>
      <c r="B502" s="18" t="n"/>
      <c r="C502" s="18" t="n"/>
      <c r="D502" s="18" t="n"/>
      <c r="E502" s="18" t="n"/>
      <c r="F502" s="19" t="n"/>
      <c r="G502" s="18" t="n"/>
      <c r="H502">
        <f>IF(OR($E502="Raudt",$E502="Rødt",$E502="Raud",$E502="Rød"),3,IF($E502="Gult",2,IF(OR($E502="Grønt",$E502="Grøn",$E502="Grønn"),1,0)))</f>
        <v/>
      </c>
      <c r="I502">
        <f>IF(AND($C502&lt;&gt;"",$A502='Oversikt'!$C$4,$B502='Oversikt'!$C$5,$C502='Elevkort'!$C$4),MAX(I$1:I501)+1,"")</f>
        <v/>
      </c>
    </row>
    <row r="503" ht="20" customHeight="1">
      <c r="A503" s="18" t="n"/>
      <c r="B503" s="18" t="n"/>
      <c r="C503" s="18" t="n"/>
      <c r="D503" s="18" t="n"/>
      <c r="E503" s="18" t="n"/>
      <c r="F503" s="19" t="n"/>
      <c r="G503" s="18" t="n"/>
      <c r="H503">
        <f>IF(OR($E503="Raudt",$E503="Rødt",$E503="Raud",$E503="Rød"),3,IF($E503="Gult",2,IF(OR($E503="Grønt",$E503="Grøn",$E503="Grønn"),1,0)))</f>
        <v/>
      </c>
      <c r="I503">
        <f>IF(AND($C503&lt;&gt;"",$A503='Oversikt'!$C$4,$B503='Oversikt'!$C$5,$C503='Elevkort'!$C$4),MAX(I$1:I502)+1,"")</f>
        <v/>
      </c>
    </row>
    <row r="504" ht="20" customHeight="1">
      <c r="A504" s="18" t="n"/>
      <c r="B504" s="18" t="n"/>
      <c r="C504" s="18" t="n"/>
      <c r="D504" s="18" t="n"/>
      <c r="E504" s="18" t="n"/>
      <c r="F504" s="19" t="n"/>
      <c r="G504" s="18" t="n"/>
      <c r="H504">
        <f>IF(OR($E504="Raudt",$E504="Rødt",$E504="Raud",$E504="Rød"),3,IF($E504="Gult",2,IF(OR($E504="Grønt",$E504="Grøn",$E504="Grønn"),1,0)))</f>
        <v/>
      </c>
      <c r="I504">
        <f>IF(AND($C504&lt;&gt;"",$A504='Oversikt'!$C$4,$B504='Oversikt'!$C$5,$C504='Elevkort'!$C$4),MAX(I$1:I503)+1,"")</f>
        <v/>
      </c>
    </row>
    <row r="505" ht="20" customHeight="1">
      <c r="A505" s="18" t="n"/>
      <c r="B505" s="18" t="n"/>
      <c r="C505" s="18" t="n"/>
      <c r="D505" s="18" t="n"/>
      <c r="E505" s="18" t="n"/>
      <c r="F505" s="19" t="n"/>
      <c r="G505" s="18" t="n"/>
      <c r="H505">
        <f>IF(OR($E505="Raudt",$E505="Rødt",$E505="Raud",$E505="Rød"),3,IF($E505="Gult",2,IF(OR($E505="Grønt",$E505="Grøn",$E505="Grønn"),1,0)))</f>
        <v/>
      </c>
      <c r="I505">
        <f>IF(AND($C505&lt;&gt;"",$A505='Oversikt'!$C$4,$B505='Oversikt'!$C$5,$C505='Elevkort'!$C$4),MAX(I$1:I504)+1,"")</f>
        <v/>
      </c>
    </row>
    <row r="506" ht="20" customHeight="1">
      <c r="A506" s="18" t="n"/>
      <c r="B506" s="18" t="n"/>
      <c r="C506" s="18" t="n"/>
      <c r="D506" s="18" t="n"/>
      <c r="E506" s="18" t="n"/>
      <c r="F506" s="19" t="n"/>
      <c r="G506" s="18" t="n"/>
      <c r="H506">
        <f>IF(OR($E506="Raudt",$E506="Rødt",$E506="Raud",$E506="Rød"),3,IF($E506="Gult",2,IF(OR($E506="Grønt",$E506="Grøn",$E506="Grønn"),1,0)))</f>
        <v/>
      </c>
      <c r="I506">
        <f>IF(AND($C506&lt;&gt;"",$A506='Oversikt'!$C$4,$B506='Oversikt'!$C$5,$C506='Elevkort'!$C$4),MAX(I$1:I505)+1,"")</f>
        <v/>
      </c>
    </row>
    <row r="507" ht="20" customHeight="1">
      <c r="A507" s="18" t="n"/>
      <c r="B507" s="18" t="n"/>
      <c r="C507" s="18" t="n"/>
      <c r="D507" s="18" t="n"/>
      <c r="E507" s="18" t="n"/>
      <c r="F507" s="19" t="n"/>
      <c r="G507" s="18" t="n"/>
      <c r="H507">
        <f>IF(OR($E507="Raudt",$E507="Rødt",$E507="Raud",$E507="Rød"),3,IF($E507="Gult",2,IF(OR($E507="Grønt",$E507="Grøn",$E507="Grønn"),1,0)))</f>
        <v/>
      </c>
      <c r="I507">
        <f>IF(AND($C507&lt;&gt;"",$A507='Oversikt'!$C$4,$B507='Oversikt'!$C$5,$C507='Elevkort'!$C$4),MAX(I$1:I506)+1,"")</f>
        <v/>
      </c>
    </row>
    <row r="508" ht="20" customHeight="1">
      <c r="A508" s="18" t="n"/>
      <c r="B508" s="18" t="n"/>
      <c r="C508" s="18" t="n"/>
      <c r="D508" s="18" t="n"/>
      <c r="E508" s="18" t="n"/>
      <c r="F508" s="19" t="n"/>
      <c r="G508" s="18" t="n"/>
      <c r="H508">
        <f>IF(OR($E508="Raudt",$E508="Rødt",$E508="Raud",$E508="Rød"),3,IF($E508="Gult",2,IF(OR($E508="Grønt",$E508="Grøn",$E508="Grønn"),1,0)))</f>
        <v/>
      </c>
      <c r="I508">
        <f>IF(AND($C508&lt;&gt;"",$A508='Oversikt'!$C$4,$B508='Oversikt'!$C$5,$C508='Elevkort'!$C$4),MAX(I$1:I507)+1,"")</f>
        <v/>
      </c>
    </row>
    <row r="509" ht="20" customHeight="1">
      <c r="A509" s="18" t="n"/>
      <c r="B509" s="18" t="n"/>
      <c r="C509" s="18" t="n"/>
      <c r="D509" s="18" t="n"/>
      <c r="E509" s="18" t="n"/>
      <c r="F509" s="19" t="n"/>
      <c r="G509" s="18" t="n"/>
      <c r="H509">
        <f>IF(OR($E509="Raudt",$E509="Rødt",$E509="Raud",$E509="Rød"),3,IF($E509="Gult",2,IF(OR($E509="Grønt",$E509="Grøn",$E509="Grønn"),1,0)))</f>
        <v/>
      </c>
      <c r="I509">
        <f>IF(AND($C509&lt;&gt;"",$A509='Oversikt'!$C$4,$B509='Oversikt'!$C$5,$C509='Elevkort'!$C$4),MAX(I$1:I508)+1,"")</f>
        <v/>
      </c>
    </row>
    <row r="510" ht="20" customHeight="1">
      <c r="A510" s="18" t="n"/>
      <c r="B510" s="18" t="n"/>
      <c r="C510" s="18" t="n"/>
      <c r="D510" s="18" t="n"/>
      <c r="E510" s="18" t="n"/>
      <c r="F510" s="19" t="n"/>
      <c r="G510" s="18" t="n"/>
      <c r="H510">
        <f>IF(OR($E510="Raudt",$E510="Rødt",$E510="Raud",$E510="Rød"),3,IF($E510="Gult",2,IF(OR($E510="Grønt",$E510="Grøn",$E510="Grønn"),1,0)))</f>
        <v/>
      </c>
      <c r="I510">
        <f>IF(AND($C510&lt;&gt;"",$A510='Oversikt'!$C$4,$B510='Oversikt'!$C$5,$C510='Elevkort'!$C$4),MAX(I$1:I509)+1,"")</f>
        <v/>
      </c>
    </row>
    <row r="511" ht="20" customHeight="1">
      <c r="A511" s="18" t="n"/>
      <c r="B511" s="18" t="n"/>
      <c r="C511" s="18" t="n"/>
      <c r="D511" s="18" t="n"/>
      <c r="E511" s="18" t="n"/>
      <c r="F511" s="19" t="n"/>
      <c r="G511" s="18" t="n"/>
      <c r="H511">
        <f>IF(OR($E511="Raudt",$E511="Rødt",$E511="Raud",$E511="Rød"),3,IF($E511="Gult",2,IF(OR($E511="Grønt",$E511="Grøn",$E511="Grønn"),1,0)))</f>
        <v/>
      </c>
      <c r="I511">
        <f>IF(AND($C511&lt;&gt;"",$A511='Oversikt'!$C$4,$B511='Oversikt'!$C$5,$C511='Elevkort'!$C$4),MAX(I$1:I510)+1,"")</f>
        <v/>
      </c>
    </row>
    <row r="512" ht="20" customHeight="1">
      <c r="A512" s="18" t="n"/>
      <c r="B512" s="18" t="n"/>
      <c r="C512" s="18" t="n"/>
      <c r="D512" s="18" t="n"/>
      <c r="E512" s="18" t="n"/>
      <c r="F512" s="19" t="n"/>
      <c r="G512" s="18" t="n"/>
      <c r="H512">
        <f>IF(OR($E512="Raudt",$E512="Rødt",$E512="Raud",$E512="Rød"),3,IF($E512="Gult",2,IF(OR($E512="Grønt",$E512="Grøn",$E512="Grønn"),1,0)))</f>
        <v/>
      </c>
      <c r="I512">
        <f>IF(AND($C512&lt;&gt;"",$A512='Oversikt'!$C$4,$B512='Oversikt'!$C$5,$C512='Elevkort'!$C$4),MAX(I$1:I511)+1,"")</f>
        <v/>
      </c>
    </row>
    <row r="513" ht="20" customHeight="1">
      <c r="A513" s="18" t="n"/>
      <c r="B513" s="18" t="n"/>
      <c r="C513" s="18" t="n"/>
      <c r="D513" s="18" t="n"/>
      <c r="E513" s="18" t="n"/>
      <c r="F513" s="19" t="n"/>
      <c r="G513" s="18" t="n"/>
      <c r="H513">
        <f>IF(OR($E513="Raudt",$E513="Rødt",$E513="Raud",$E513="Rød"),3,IF($E513="Gult",2,IF(OR($E513="Grønt",$E513="Grøn",$E513="Grønn"),1,0)))</f>
        <v/>
      </c>
      <c r="I513">
        <f>IF(AND($C513&lt;&gt;"",$A513='Oversikt'!$C$4,$B513='Oversikt'!$C$5,$C513='Elevkort'!$C$4),MAX(I$1:I512)+1,"")</f>
        <v/>
      </c>
    </row>
    <row r="514" ht="20" customHeight="1">
      <c r="A514" s="18" t="n"/>
      <c r="B514" s="18" t="n"/>
      <c r="C514" s="18" t="n"/>
      <c r="D514" s="18" t="n"/>
      <c r="E514" s="18" t="n"/>
      <c r="F514" s="19" t="n"/>
      <c r="G514" s="18" t="n"/>
      <c r="H514">
        <f>IF(OR($E514="Raudt",$E514="Rødt",$E514="Raud",$E514="Rød"),3,IF($E514="Gult",2,IF(OR($E514="Grønt",$E514="Grøn",$E514="Grønn"),1,0)))</f>
        <v/>
      </c>
      <c r="I514">
        <f>IF(AND($C514&lt;&gt;"",$A514='Oversikt'!$C$4,$B514='Oversikt'!$C$5,$C514='Elevkort'!$C$4),MAX(I$1:I513)+1,"")</f>
        <v/>
      </c>
    </row>
    <row r="515" ht="20" customHeight="1">
      <c r="A515" s="18" t="n"/>
      <c r="B515" s="18" t="n"/>
      <c r="C515" s="18" t="n"/>
      <c r="D515" s="18" t="n"/>
      <c r="E515" s="18" t="n"/>
      <c r="F515" s="19" t="n"/>
      <c r="G515" s="18" t="n"/>
      <c r="H515">
        <f>IF(OR($E515="Raudt",$E515="Rødt",$E515="Raud",$E515="Rød"),3,IF($E515="Gult",2,IF(OR($E515="Grønt",$E515="Grøn",$E515="Grønn"),1,0)))</f>
        <v/>
      </c>
      <c r="I515">
        <f>IF(AND($C515&lt;&gt;"",$A515='Oversikt'!$C$4,$B515='Oversikt'!$C$5,$C515='Elevkort'!$C$4),MAX(I$1:I514)+1,"")</f>
        <v/>
      </c>
    </row>
    <row r="516" ht="20" customHeight="1">
      <c r="A516" s="18" t="n"/>
      <c r="B516" s="18" t="n"/>
      <c r="C516" s="18" t="n"/>
      <c r="D516" s="18" t="n"/>
      <c r="E516" s="18" t="n"/>
      <c r="F516" s="19" t="n"/>
      <c r="G516" s="18" t="n"/>
      <c r="H516">
        <f>IF(OR($E516="Raudt",$E516="Rødt",$E516="Raud",$E516="Rød"),3,IF($E516="Gult",2,IF(OR($E516="Grønt",$E516="Grøn",$E516="Grønn"),1,0)))</f>
        <v/>
      </c>
      <c r="I516">
        <f>IF(AND($C516&lt;&gt;"",$A516='Oversikt'!$C$4,$B516='Oversikt'!$C$5,$C516='Elevkort'!$C$4),MAX(I$1:I515)+1,"")</f>
        <v/>
      </c>
    </row>
    <row r="517" ht="20" customHeight="1">
      <c r="A517" s="18" t="n"/>
      <c r="B517" s="18" t="n"/>
      <c r="C517" s="18" t="n"/>
      <c r="D517" s="18" t="n"/>
      <c r="E517" s="18" t="n"/>
      <c r="F517" s="19" t="n"/>
      <c r="G517" s="18" t="n"/>
      <c r="H517">
        <f>IF(OR($E517="Raudt",$E517="Rødt",$E517="Raud",$E517="Rød"),3,IF($E517="Gult",2,IF(OR($E517="Grønt",$E517="Grøn",$E517="Grønn"),1,0)))</f>
        <v/>
      </c>
      <c r="I517">
        <f>IF(AND($C517&lt;&gt;"",$A517='Oversikt'!$C$4,$B517='Oversikt'!$C$5,$C517='Elevkort'!$C$4),MAX(I$1:I516)+1,"")</f>
        <v/>
      </c>
    </row>
    <row r="518" ht="20" customHeight="1">
      <c r="A518" s="18" t="n"/>
      <c r="B518" s="18" t="n"/>
      <c r="C518" s="18" t="n"/>
      <c r="D518" s="18" t="n"/>
      <c r="E518" s="18" t="n"/>
      <c r="F518" s="19" t="n"/>
      <c r="G518" s="18" t="n"/>
      <c r="H518">
        <f>IF(OR($E518="Raudt",$E518="Rødt",$E518="Raud",$E518="Rød"),3,IF($E518="Gult",2,IF(OR($E518="Grønt",$E518="Grøn",$E518="Grønn"),1,0)))</f>
        <v/>
      </c>
      <c r="I518">
        <f>IF(AND($C518&lt;&gt;"",$A518='Oversikt'!$C$4,$B518='Oversikt'!$C$5,$C518='Elevkort'!$C$4),MAX(I$1:I517)+1,"")</f>
        <v/>
      </c>
    </row>
    <row r="519" ht="20" customHeight="1">
      <c r="A519" s="18" t="n"/>
      <c r="B519" s="18" t="n"/>
      <c r="C519" s="18" t="n"/>
      <c r="D519" s="18" t="n"/>
      <c r="E519" s="18" t="n"/>
      <c r="F519" s="19" t="n"/>
      <c r="G519" s="18" t="n"/>
      <c r="H519">
        <f>IF(OR($E519="Raudt",$E519="Rødt",$E519="Raud",$E519="Rød"),3,IF($E519="Gult",2,IF(OR($E519="Grønt",$E519="Grøn",$E519="Grønn"),1,0)))</f>
        <v/>
      </c>
      <c r="I519">
        <f>IF(AND($C519&lt;&gt;"",$A519='Oversikt'!$C$4,$B519='Oversikt'!$C$5,$C519='Elevkort'!$C$4),MAX(I$1:I518)+1,"")</f>
        <v/>
      </c>
    </row>
    <row r="520" ht="20" customHeight="1">
      <c r="A520" s="18" t="n"/>
      <c r="B520" s="18" t="n"/>
      <c r="C520" s="18" t="n"/>
      <c r="D520" s="18" t="n"/>
      <c r="E520" s="18" t="n"/>
      <c r="F520" s="19" t="n"/>
      <c r="G520" s="18" t="n"/>
      <c r="H520">
        <f>IF(OR($E520="Raudt",$E520="Rødt",$E520="Raud",$E520="Rød"),3,IF($E520="Gult",2,IF(OR($E520="Grønt",$E520="Grøn",$E520="Grønn"),1,0)))</f>
        <v/>
      </c>
      <c r="I520">
        <f>IF(AND($C520&lt;&gt;"",$A520='Oversikt'!$C$4,$B520='Oversikt'!$C$5,$C520='Elevkort'!$C$4),MAX(I$1:I519)+1,"")</f>
        <v/>
      </c>
    </row>
    <row r="521" ht="20" customHeight="1">
      <c r="A521" s="18" t="n"/>
      <c r="B521" s="18" t="n"/>
      <c r="C521" s="18" t="n"/>
      <c r="D521" s="18" t="n"/>
      <c r="E521" s="18" t="n"/>
      <c r="F521" s="19" t="n"/>
      <c r="G521" s="18" t="n"/>
      <c r="H521">
        <f>IF(OR($E521="Raudt",$E521="Rødt",$E521="Raud",$E521="Rød"),3,IF($E521="Gult",2,IF(OR($E521="Grønt",$E521="Grøn",$E521="Grønn"),1,0)))</f>
        <v/>
      </c>
      <c r="I521">
        <f>IF(AND($C521&lt;&gt;"",$A521='Oversikt'!$C$4,$B521='Oversikt'!$C$5,$C521='Elevkort'!$C$4),MAX(I$1:I520)+1,"")</f>
        <v/>
      </c>
    </row>
    <row r="522" ht="20" customHeight="1">
      <c r="A522" s="18" t="n"/>
      <c r="B522" s="18" t="n"/>
      <c r="C522" s="18" t="n"/>
      <c r="D522" s="18" t="n"/>
      <c r="E522" s="18" t="n"/>
      <c r="F522" s="19" t="n"/>
      <c r="G522" s="18" t="n"/>
      <c r="H522">
        <f>IF(OR($E522="Raudt",$E522="Rødt",$E522="Raud",$E522="Rød"),3,IF($E522="Gult",2,IF(OR($E522="Grønt",$E522="Grøn",$E522="Grønn"),1,0)))</f>
        <v/>
      </c>
      <c r="I522">
        <f>IF(AND($C522&lt;&gt;"",$A522='Oversikt'!$C$4,$B522='Oversikt'!$C$5,$C522='Elevkort'!$C$4),MAX(I$1:I521)+1,"")</f>
        <v/>
      </c>
    </row>
    <row r="523" ht="20" customHeight="1">
      <c r="A523" s="18" t="n"/>
      <c r="B523" s="18" t="n"/>
      <c r="C523" s="18" t="n"/>
      <c r="D523" s="18" t="n"/>
      <c r="E523" s="18" t="n"/>
      <c r="F523" s="19" t="n"/>
      <c r="G523" s="18" t="n"/>
      <c r="H523">
        <f>IF(OR($E523="Raudt",$E523="Rødt",$E523="Raud",$E523="Rød"),3,IF($E523="Gult",2,IF(OR($E523="Grønt",$E523="Grøn",$E523="Grønn"),1,0)))</f>
        <v/>
      </c>
      <c r="I523">
        <f>IF(AND($C523&lt;&gt;"",$A523='Oversikt'!$C$4,$B523='Oversikt'!$C$5,$C523='Elevkort'!$C$4),MAX(I$1:I522)+1,"")</f>
        <v/>
      </c>
    </row>
    <row r="524" ht="20" customHeight="1">
      <c r="A524" s="18" t="n"/>
      <c r="B524" s="18" t="n"/>
      <c r="C524" s="18" t="n"/>
      <c r="D524" s="18" t="n"/>
      <c r="E524" s="18" t="n"/>
      <c r="F524" s="19" t="n"/>
      <c r="G524" s="18" t="n"/>
      <c r="H524">
        <f>IF(OR($E524="Raudt",$E524="Rødt",$E524="Raud",$E524="Rød"),3,IF($E524="Gult",2,IF(OR($E524="Grønt",$E524="Grøn",$E524="Grønn"),1,0)))</f>
        <v/>
      </c>
      <c r="I524">
        <f>IF(AND($C524&lt;&gt;"",$A524='Oversikt'!$C$4,$B524='Oversikt'!$C$5,$C524='Elevkort'!$C$4),MAX(I$1:I523)+1,"")</f>
        <v/>
      </c>
    </row>
    <row r="525" ht="20" customHeight="1">
      <c r="A525" s="18" t="n"/>
      <c r="B525" s="18" t="n"/>
      <c r="C525" s="18" t="n"/>
      <c r="D525" s="18" t="n"/>
      <c r="E525" s="18" t="n"/>
      <c r="F525" s="19" t="n"/>
      <c r="G525" s="18" t="n"/>
      <c r="H525">
        <f>IF(OR($E525="Raudt",$E525="Rødt",$E525="Raud",$E525="Rød"),3,IF($E525="Gult",2,IF(OR($E525="Grønt",$E525="Grøn",$E525="Grønn"),1,0)))</f>
        <v/>
      </c>
      <c r="I525">
        <f>IF(AND($C525&lt;&gt;"",$A525='Oversikt'!$C$4,$B525='Oversikt'!$C$5,$C525='Elevkort'!$C$4),MAX(I$1:I524)+1,"")</f>
        <v/>
      </c>
    </row>
    <row r="526" ht="20" customHeight="1">
      <c r="A526" s="18" t="n"/>
      <c r="B526" s="18" t="n"/>
      <c r="C526" s="18" t="n"/>
      <c r="D526" s="18" t="n"/>
      <c r="E526" s="18" t="n"/>
      <c r="F526" s="19" t="n"/>
      <c r="G526" s="18" t="n"/>
      <c r="H526">
        <f>IF(OR($E526="Raudt",$E526="Rødt",$E526="Raud",$E526="Rød"),3,IF($E526="Gult",2,IF(OR($E526="Grønt",$E526="Grøn",$E526="Grønn"),1,0)))</f>
        <v/>
      </c>
      <c r="I526">
        <f>IF(AND($C526&lt;&gt;"",$A526='Oversikt'!$C$4,$B526='Oversikt'!$C$5,$C526='Elevkort'!$C$4),MAX(I$1:I525)+1,"")</f>
        <v/>
      </c>
    </row>
    <row r="527" ht="20" customHeight="1">
      <c r="A527" s="18" t="n"/>
      <c r="B527" s="18" t="n"/>
      <c r="C527" s="18" t="n"/>
      <c r="D527" s="18" t="n"/>
      <c r="E527" s="18" t="n"/>
      <c r="F527" s="19" t="n"/>
      <c r="G527" s="18" t="n"/>
      <c r="H527">
        <f>IF(OR($E527="Raudt",$E527="Rødt",$E527="Raud",$E527="Rød"),3,IF($E527="Gult",2,IF(OR($E527="Grønt",$E527="Grøn",$E527="Grønn"),1,0)))</f>
        <v/>
      </c>
      <c r="I527">
        <f>IF(AND($C527&lt;&gt;"",$A527='Oversikt'!$C$4,$B527='Oversikt'!$C$5,$C527='Elevkort'!$C$4),MAX(I$1:I526)+1,"")</f>
        <v/>
      </c>
    </row>
    <row r="528" ht="20" customHeight="1">
      <c r="A528" s="18" t="n"/>
      <c r="B528" s="18" t="n"/>
      <c r="C528" s="18" t="n"/>
      <c r="D528" s="18" t="n"/>
      <c r="E528" s="18" t="n"/>
      <c r="F528" s="19" t="n"/>
      <c r="G528" s="18" t="n"/>
      <c r="H528">
        <f>IF(OR($E528="Raudt",$E528="Rødt",$E528="Raud",$E528="Rød"),3,IF($E528="Gult",2,IF(OR($E528="Grønt",$E528="Grøn",$E528="Grønn"),1,0)))</f>
        <v/>
      </c>
      <c r="I528">
        <f>IF(AND($C528&lt;&gt;"",$A528='Oversikt'!$C$4,$B528='Oversikt'!$C$5,$C528='Elevkort'!$C$4),MAX(I$1:I527)+1,"")</f>
        <v/>
      </c>
    </row>
    <row r="529" ht="20" customHeight="1">
      <c r="A529" s="18" t="n"/>
      <c r="B529" s="18" t="n"/>
      <c r="C529" s="18" t="n"/>
      <c r="D529" s="18" t="n"/>
      <c r="E529" s="18" t="n"/>
      <c r="F529" s="19" t="n"/>
      <c r="G529" s="18" t="n"/>
      <c r="H529">
        <f>IF(OR($E529="Raudt",$E529="Rødt",$E529="Raud",$E529="Rød"),3,IF($E529="Gult",2,IF(OR($E529="Grønt",$E529="Grøn",$E529="Grønn"),1,0)))</f>
        <v/>
      </c>
      <c r="I529">
        <f>IF(AND($C529&lt;&gt;"",$A529='Oversikt'!$C$4,$B529='Oversikt'!$C$5,$C529='Elevkort'!$C$4),MAX(I$1:I528)+1,"")</f>
        <v/>
      </c>
    </row>
    <row r="530" ht="20" customHeight="1">
      <c r="A530" s="18" t="n"/>
      <c r="B530" s="18" t="n"/>
      <c r="C530" s="18" t="n"/>
      <c r="D530" s="18" t="n"/>
      <c r="E530" s="18" t="n"/>
      <c r="F530" s="19" t="n"/>
      <c r="G530" s="18" t="n"/>
      <c r="H530">
        <f>IF(OR($E530="Raudt",$E530="Rødt",$E530="Raud",$E530="Rød"),3,IF($E530="Gult",2,IF(OR($E530="Grønt",$E530="Grøn",$E530="Grønn"),1,0)))</f>
        <v/>
      </c>
      <c r="I530">
        <f>IF(AND($C530&lt;&gt;"",$A530='Oversikt'!$C$4,$B530='Oversikt'!$C$5,$C530='Elevkort'!$C$4),MAX(I$1:I529)+1,"")</f>
        <v/>
      </c>
    </row>
    <row r="531" ht="20" customHeight="1">
      <c r="A531" s="18" t="n"/>
      <c r="B531" s="18" t="n"/>
      <c r="C531" s="18" t="n"/>
      <c r="D531" s="18" t="n"/>
      <c r="E531" s="18" t="n"/>
      <c r="F531" s="19" t="n"/>
      <c r="G531" s="18" t="n"/>
      <c r="H531">
        <f>IF(OR($E531="Raudt",$E531="Rødt",$E531="Raud",$E531="Rød"),3,IF($E531="Gult",2,IF(OR($E531="Grønt",$E531="Grøn",$E531="Grønn"),1,0)))</f>
        <v/>
      </c>
      <c r="I531">
        <f>IF(AND($C531&lt;&gt;"",$A531='Oversikt'!$C$4,$B531='Oversikt'!$C$5,$C531='Elevkort'!$C$4),MAX(I$1:I530)+1,"")</f>
        <v/>
      </c>
    </row>
    <row r="532" ht="20" customHeight="1">
      <c r="A532" s="18" t="n"/>
      <c r="B532" s="18" t="n"/>
      <c r="C532" s="18" t="n"/>
      <c r="D532" s="18" t="n"/>
      <c r="E532" s="18" t="n"/>
      <c r="F532" s="19" t="n"/>
      <c r="G532" s="18" t="n"/>
      <c r="H532">
        <f>IF(OR($E532="Raudt",$E532="Rødt",$E532="Raud",$E532="Rød"),3,IF($E532="Gult",2,IF(OR($E532="Grønt",$E532="Grøn",$E532="Grønn"),1,0)))</f>
        <v/>
      </c>
      <c r="I532">
        <f>IF(AND($C532&lt;&gt;"",$A532='Oversikt'!$C$4,$B532='Oversikt'!$C$5,$C532='Elevkort'!$C$4),MAX(I$1:I531)+1,"")</f>
        <v/>
      </c>
    </row>
    <row r="533" ht="20" customHeight="1">
      <c r="A533" s="18" t="n"/>
      <c r="B533" s="18" t="n"/>
      <c r="C533" s="18" t="n"/>
      <c r="D533" s="18" t="n"/>
      <c r="E533" s="18" t="n"/>
      <c r="F533" s="19" t="n"/>
      <c r="G533" s="18" t="n"/>
      <c r="H533">
        <f>IF(OR($E533="Raudt",$E533="Rødt",$E533="Raud",$E533="Rød"),3,IF($E533="Gult",2,IF(OR($E533="Grønt",$E533="Grøn",$E533="Grønn"),1,0)))</f>
        <v/>
      </c>
      <c r="I533">
        <f>IF(AND($C533&lt;&gt;"",$A533='Oversikt'!$C$4,$B533='Oversikt'!$C$5,$C533='Elevkort'!$C$4),MAX(I$1:I532)+1,"")</f>
        <v/>
      </c>
    </row>
    <row r="534" ht="20" customHeight="1">
      <c r="A534" s="18" t="n"/>
      <c r="B534" s="18" t="n"/>
      <c r="C534" s="18" t="n"/>
      <c r="D534" s="18" t="n"/>
      <c r="E534" s="18" t="n"/>
      <c r="F534" s="19" t="n"/>
      <c r="G534" s="18" t="n"/>
      <c r="H534">
        <f>IF(OR($E534="Raudt",$E534="Rødt",$E534="Raud",$E534="Rød"),3,IF($E534="Gult",2,IF(OR($E534="Grønt",$E534="Grøn",$E534="Grønn"),1,0)))</f>
        <v/>
      </c>
      <c r="I534">
        <f>IF(AND($C534&lt;&gt;"",$A534='Oversikt'!$C$4,$B534='Oversikt'!$C$5,$C534='Elevkort'!$C$4),MAX(I$1:I533)+1,"")</f>
        <v/>
      </c>
    </row>
    <row r="535" ht="20" customHeight="1">
      <c r="A535" s="18" t="n"/>
      <c r="B535" s="18" t="n"/>
      <c r="C535" s="18" t="n"/>
      <c r="D535" s="18" t="n"/>
      <c r="E535" s="18" t="n"/>
      <c r="F535" s="19" t="n"/>
      <c r="G535" s="18" t="n"/>
      <c r="H535">
        <f>IF(OR($E535="Raudt",$E535="Rødt",$E535="Raud",$E535="Rød"),3,IF($E535="Gult",2,IF(OR($E535="Grønt",$E535="Grøn",$E535="Grønn"),1,0)))</f>
        <v/>
      </c>
      <c r="I535">
        <f>IF(AND($C535&lt;&gt;"",$A535='Oversikt'!$C$4,$B535='Oversikt'!$C$5,$C535='Elevkort'!$C$4),MAX(I$1:I534)+1,"")</f>
        <v/>
      </c>
    </row>
    <row r="536" ht="20" customHeight="1">
      <c r="A536" s="18" t="n"/>
      <c r="B536" s="18" t="n"/>
      <c r="C536" s="18" t="n"/>
      <c r="D536" s="18" t="n"/>
      <c r="E536" s="18" t="n"/>
      <c r="F536" s="19" t="n"/>
      <c r="G536" s="18" t="n"/>
      <c r="H536">
        <f>IF(OR($E536="Raudt",$E536="Rødt",$E536="Raud",$E536="Rød"),3,IF($E536="Gult",2,IF(OR($E536="Grønt",$E536="Grøn",$E536="Grønn"),1,0)))</f>
        <v/>
      </c>
      <c r="I536">
        <f>IF(AND($C536&lt;&gt;"",$A536='Oversikt'!$C$4,$B536='Oversikt'!$C$5,$C536='Elevkort'!$C$4),MAX(I$1:I535)+1,"")</f>
        <v/>
      </c>
    </row>
    <row r="537" ht="20" customHeight="1">
      <c r="A537" s="18" t="n"/>
      <c r="B537" s="18" t="n"/>
      <c r="C537" s="18" t="n"/>
      <c r="D537" s="18" t="n"/>
      <c r="E537" s="18" t="n"/>
      <c r="F537" s="19" t="n"/>
      <c r="G537" s="18" t="n"/>
      <c r="H537">
        <f>IF(OR($E537="Raudt",$E537="Rødt",$E537="Raud",$E537="Rød"),3,IF($E537="Gult",2,IF(OR($E537="Grønt",$E537="Grøn",$E537="Grønn"),1,0)))</f>
        <v/>
      </c>
      <c r="I537">
        <f>IF(AND($C537&lt;&gt;"",$A537='Oversikt'!$C$4,$B537='Oversikt'!$C$5,$C537='Elevkort'!$C$4),MAX(I$1:I536)+1,"")</f>
        <v/>
      </c>
    </row>
    <row r="538" ht="20" customHeight="1">
      <c r="A538" s="18" t="n"/>
      <c r="B538" s="18" t="n"/>
      <c r="C538" s="18" t="n"/>
      <c r="D538" s="18" t="n"/>
      <c r="E538" s="18" t="n"/>
      <c r="F538" s="19" t="n"/>
      <c r="G538" s="18" t="n"/>
      <c r="H538">
        <f>IF(OR($E538="Raudt",$E538="Rødt",$E538="Raud",$E538="Rød"),3,IF($E538="Gult",2,IF(OR($E538="Grønt",$E538="Grøn",$E538="Grønn"),1,0)))</f>
        <v/>
      </c>
      <c r="I538">
        <f>IF(AND($C538&lt;&gt;"",$A538='Oversikt'!$C$4,$B538='Oversikt'!$C$5,$C538='Elevkort'!$C$4),MAX(I$1:I537)+1,"")</f>
        <v/>
      </c>
    </row>
    <row r="539" ht="20" customHeight="1">
      <c r="A539" s="18" t="n"/>
      <c r="B539" s="18" t="n"/>
      <c r="C539" s="18" t="n"/>
      <c r="D539" s="18" t="n"/>
      <c r="E539" s="18" t="n"/>
      <c r="F539" s="19" t="n"/>
      <c r="G539" s="18" t="n"/>
      <c r="H539">
        <f>IF(OR($E539="Raudt",$E539="Rødt",$E539="Raud",$E539="Rød"),3,IF($E539="Gult",2,IF(OR($E539="Grønt",$E539="Grøn",$E539="Grønn"),1,0)))</f>
        <v/>
      </c>
      <c r="I539">
        <f>IF(AND($C539&lt;&gt;"",$A539='Oversikt'!$C$4,$B539='Oversikt'!$C$5,$C539='Elevkort'!$C$4),MAX(I$1:I538)+1,"")</f>
        <v/>
      </c>
    </row>
    <row r="540" ht="20" customHeight="1">
      <c r="A540" s="18" t="n"/>
      <c r="B540" s="18" t="n"/>
      <c r="C540" s="18" t="n"/>
      <c r="D540" s="18" t="n"/>
      <c r="E540" s="18" t="n"/>
      <c r="F540" s="19" t="n"/>
      <c r="G540" s="18" t="n"/>
      <c r="H540">
        <f>IF(OR($E540="Raudt",$E540="Rødt",$E540="Raud",$E540="Rød"),3,IF($E540="Gult",2,IF(OR($E540="Grønt",$E540="Grøn",$E540="Grønn"),1,0)))</f>
        <v/>
      </c>
      <c r="I540">
        <f>IF(AND($C540&lt;&gt;"",$A540='Oversikt'!$C$4,$B540='Oversikt'!$C$5,$C540='Elevkort'!$C$4),MAX(I$1:I539)+1,"")</f>
        <v/>
      </c>
    </row>
    <row r="541" ht="20" customHeight="1">
      <c r="A541" s="18" t="n"/>
      <c r="B541" s="18" t="n"/>
      <c r="C541" s="18" t="n"/>
      <c r="D541" s="18" t="n"/>
      <c r="E541" s="18" t="n"/>
      <c r="F541" s="19" t="n"/>
      <c r="G541" s="18" t="n"/>
      <c r="H541">
        <f>IF(OR($E541="Raudt",$E541="Rødt",$E541="Raud",$E541="Rød"),3,IF($E541="Gult",2,IF(OR($E541="Grønt",$E541="Grøn",$E541="Grønn"),1,0)))</f>
        <v/>
      </c>
      <c r="I541">
        <f>IF(AND($C541&lt;&gt;"",$A541='Oversikt'!$C$4,$B541='Oversikt'!$C$5,$C541='Elevkort'!$C$4),MAX(I$1:I540)+1,"")</f>
        <v/>
      </c>
    </row>
    <row r="542" ht="20" customHeight="1">
      <c r="A542" s="18" t="n"/>
      <c r="B542" s="18" t="n"/>
      <c r="C542" s="18" t="n"/>
      <c r="D542" s="18" t="n"/>
      <c r="E542" s="18" t="n"/>
      <c r="F542" s="19" t="n"/>
      <c r="G542" s="18" t="n"/>
      <c r="H542">
        <f>IF(OR($E542="Raudt",$E542="Rødt",$E542="Raud",$E542="Rød"),3,IF($E542="Gult",2,IF(OR($E542="Grønt",$E542="Grøn",$E542="Grønn"),1,0)))</f>
        <v/>
      </c>
      <c r="I542">
        <f>IF(AND($C542&lt;&gt;"",$A542='Oversikt'!$C$4,$B542='Oversikt'!$C$5,$C542='Elevkort'!$C$4),MAX(I$1:I541)+1,"")</f>
        <v/>
      </c>
    </row>
    <row r="543" ht="20" customHeight="1">
      <c r="A543" s="18" t="n"/>
      <c r="B543" s="18" t="n"/>
      <c r="C543" s="18" t="n"/>
      <c r="D543" s="18" t="n"/>
      <c r="E543" s="18" t="n"/>
      <c r="F543" s="19" t="n"/>
      <c r="G543" s="18" t="n"/>
      <c r="H543">
        <f>IF(OR($E543="Raudt",$E543="Rødt",$E543="Raud",$E543="Rød"),3,IF($E543="Gult",2,IF(OR($E543="Grønt",$E543="Grøn",$E543="Grønn"),1,0)))</f>
        <v/>
      </c>
      <c r="I543">
        <f>IF(AND($C543&lt;&gt;"",$A543='Oversikt'!$C$4,$B543='Oversikt'!$C$5,$C543='Elevkort'!$C$4),MAX(I$1:I542)+1,"")</f>
        <v/>
      </c>
    </row>
    <row r="544" ht="20" customHeight="1">
      <c r="A544" s="18" t="n"/>
      <c r="B544" s="18" t="n"/>
      <c r="C544" s="18" t="n"/>
      <c r="D544" s="18" t="n"/>
      <c r="E544" s="18" t="n"/>
      <c r="F544" s="19" t="n"/>
      <c r="G544" s="18" t="n"/>
      <c r="H544">
        <f>IF(OR($E544="Raudt",$E544="Rødt",$E544="Raud",$E544="Rød"),3,IF($E544="Gult",2,IF(OR($E544="Grønt",$E544="Grøn",$E544="Grønn"),1,0)))</f>
        <v/>
      </c>
      <c r="I544">
        <f>IF(AND($C544&lt;&gt;"",$A544='Oversikt'!$C$4,$B544='Oversikt'!$C$5,$C544='Elevkort'!$C$4),MAX(I$1:I543)+1,"")</f>
        <v/>
      </c>
    </row>
    <row r="545" ht="20" customHeight="1">
      <c r="A545" s="18" t="n"/>
      <c r="B545" s="18" t="n"/>
      <c r="C545" s="18" t="n"/>
      <c r="D545" s="18" t="n"/>
      <c r="E545" s="18" t="n"/>
      <c r="F545" s="19" t="n"/>
      <c r="G545" s="18" t="n"/>
      <c r="H545">
        <f>IF(OR($E545="Raudt",$E545="Rødt",$E545="Raud",$E545="Rød"),3,IF($E545="Gult",2,IF(OR($E545="Grønt",$E545="Grøn",$E545="Grønn"),1,0)))</f>
        <v/>
      </c>
      <c r="I545">
        <f>IF(AND($C545&lt;&gt;"",$A545='Oversikt'!$C$4,$B545='Oversikt'!$C$5,$C545='Elevkort'!$C$4),MAX(I$1:I544)+1,"")</f>
        <v/>
      </c>
    </row>
    <row r="546" ht="20" customHeight="1">
      <c r="A546" s="18" t="n"/>
      <c r="B546" s="18" t="n"/>
      <c r="C546" s="18" t="n"/>
      <c r="D546" s="18" t="n"/>
      <c r="E546" s="18" t="n"/>
      <c r="F546" s="19" t="n"/>
      <c r="G546" s="18" t="n"/>
      <c r="H546">
        <f>IF(OR($E546="Raudt",$E546="Rødt",$E546="Raud",$E546="Rød"),3,IF($E546="Gult",2,IF(OR($E546="Grønt",$E546="Grøn",$E546="Grønn"),1,0)))</f>
        <v/>
      </c>
      <c r="I546">
        <f>IF(AND($C546&lt;&gt;"",$A546='Oversikt'!$C$4,$B546='Oversikt'!$C$5,$C546='Elevkort'!$C$4),MAX(I$1:I545)+1,"")</f>
        <v/>
      </c>
    </row>
    <row r="547" ht="20" customHeight="1">
      <c r="A547" s="18" t="n"/>
      <c r="B547" s="18" t="n"/>
      <c r="C547" s="18" t="n"/>
      <c r="D547" s="18" t="n"/>
      <c r="E547" s="18" t="n"/>
      <c r="F547" s="19" t="n"/>
      <c r="G547" s="18" t="n"/>
      <c r="H547">
        <f>IF(OR($E547="Raudt",$E547="Rødt",$E547="Raud",$E547="Rød"),3,IF($E547="Gult",2,IF(OR($E547="Grønt",$E547="Grøn",$E547="Grønn"),1,0)))</f>
        <v/>
      </c>
      <c r="I547">
        <f>IF(AND($C547&lt;&gt;"",$A547='Oversikt'!$C$4,$B547='Oversikt'!$C$5,$C547='Elevkort'!$C$4),MAX(I$1:I546)+1,"")</f>
        <v/>
      </c>
    </row>
    <row r="548" ht="20" customHeight="1">
      <c r="A548" s="18" t="n"/>
      <c r="B548" s="18" t="n"/>
      <c r="C548" s="18" t="n"/>
      <c r="D548" s="18" t="n"/>
      <c r="E548" s="18" t="n"/>
      <c r="F548" s="19" t="n"/>
      <c r="G548" s="18" t="n"/>
      <c r="H548">
        <f>IF(OR($E548="Raudt",$E548="Rødt",$E548="Raud",$E548="Rød"),3,IF($E548="Gult",2,IF(OR($E548="Grønt",$E548="Grøn",$E548="Grønn"),1,0)))</f>
        <v/>
      </c>
      <c r="I548">
        <f>IF(AND($C548&lt;&gt;"",$A548='Oversikt'!$C$4,$B548='Oversikt'!$C$5,$C548='Elevkort'!$C$4),MAX(I$1:I547)+1,"")</f>
        <v/>
      </c>
    </row>
    <row r="549" ht="20" customHeight="1">
      <c r="A549" s="18" t="n"/>
      <c r="B549" s="18" t="n"/>
      <c r="C549" s="18" t="n"/>
      <c r="D549" s="18" t="n"/>
      <c r="E549" s="18" t="n"/>
      <c r="F549" s="19" t="n"/>
      <c r="G549" s="18" t="n"/>
      <c r="H549">
        <f>IF(OR($E549="Raudt",$E549="Rødt",$E549="Raud",$E549="Rød"),3,IF($E549="Gult",2,IF(OR($E549="Grønt",$E549="Grøn",$E549="Grønn"),1,0)))</f>
        <v/>
      </c>
      <c r="I549">
        <f>IF(AND($C549&lt;&gt;"",$A549='Oversikt'!$C$4,$B549='Oversikt'!$C$5,$C549='Elevkort'!$C$4),MAX(I$1:I548)+1,"")</f>
        <v/>
      </c>
    </row>
    <row r="550" ht="20" customHeight="1">
      <c r="A550" s="18" t="n"/>
      <c r="B550" s="18" t="n"/>
      <c r="C550" s="18" t="n"/>
      <c r="D550" s="18" t="n"/>
      <c r="E550" s="18" t="n"/>
      <c r="F550" s="19" t="n"/>
      <c r="G550" s="18" t="n"/>
      <c r="H550">
        <f>IF(OR($E550="Raudt",$E550="Rødt",$E550="Raud",$E550="Rød"),3,IF($E550="Gult",2,IF(OR($E550="Grønt",$E550="Grøn",$E550="Grønn"),1,0)))</f>
        <v/>
      </c>
      <c r="I550">
        <f>IF(AND($C550&lt;&gt;"",$A550='Oversikt'!$C$4,$B550='Oversikt'!$C$5,$C550='Elevkort'!$C$4),MAX(I$1:I549)+1,"")</f>
        <v/>
      </c>
    </row>
    <row r="551" ht="20" customHeight="1">
      <c r="A551" s="18" t="n"/>
      <c r="B551" s="18" t="n"/>
      <c r="C551" s="18" t="n"/>
      <c r="D551" s="18" t="n"/>
      <c r="E551" s="18" t="n"/>
      <c r="F551" s="19" t="n"/>
      <c r="G551" s="18" t="n"/>
      <c r="H551">
        <f>IF(OR($E551="Raudt",$E551="Rødt",$E551="Raud",$E551="Rød"),3,IF($E551="Gult",2,IF(OR($E551="Grønt",$E551="Grøn",$E551="Grønn"),1,0)))</f>
        <v/>
      </c>
      <c r="I551">
        <f>IF(AND($C551&lt;&gt;"",$A551='Oversikt'!$C$4,$B551='Oversikt'!$C$5,$C551='Elevkort'!$C$4),MAX(I$1:I550)+1,"")</f>
        <v/>
      </c>
    </row>
    <row r="552" ht="20" customHeight="1">
      <c r="A552" s="18" t="n"/>
      <c r="B552" s="18" t="n"/>
      <c r="C552" s="18" t="n"/>
      <c r="D552" s="18" t="n"/>
      <c r="E552" s="18" t="n"/>
      <c r="F552" s="19" t="n"/>
      <c r="G552" s="18" t="n"/>
      <c r="H552">
        <f>IF(OR($E552="Raudt",$E552="Rødt",$E552="Raud",$E552="Rød"),3,IF($E552="Gult",2,IF(OR($E552="Grønt",$E552="Grøn",$E552="Grønn"),1,0)))</f>
        <v/>
      </c>
      <c r="I552">
        <f>IF(AND($C552&lt;&gt;"",$A552='Oversikt'!$C$4,$B552='Oversikt'!$C$5,$C552='Elevkort'!$C$4),MAX(I$1:I551)+1,"")</f>
        <v/>
      </c>
    </row>
    <row r="553" ht="20" customHeight="1">
      <c r="A553" s="18" t="n"/>
      <c r="B553" s="18" t="n"/>
      <c r="C553" s="18" t="n"/>
      <c r="D553" s="18" t="n"/>
      <c r="E553" s="18" t="n"/>
      <c r="F553" s="19" t="n"/>
      <c r="G553" s="18" t="n"/>
      <c r="H553">
        <f>IF(OR($E553="Raudt",$E553="Rødt",$E553="Raud",$E553="Rød"),3,IF($E553="Gult",2,IF(OR($E553="Grønt",$E553="Grøn",$E553="Grønn"),1,0)))</f>
        <v/>
      </c>
      <c r="I553">
        <f>IF(AND($C553&lt;&gt;"",$A553='Oversikt'!$C$4,$B553='Oversikt'!$C$5,$C553='Elevkort'!$C$4),MAX(I$1:I552)+1,"")</f>
        <v/>
      </c>
    </row>
    <row r="554" ht="20" customHeight="1">
      <c r="A554" s="18" t="n"/>
      <c r="B554" s="18" t="n"/>
      <c r="C554" s="18" t="n"/>
      <c r="D554" s="18" t="n"/>
      <c r="E554" s="18" t="n"/>
      <c r="F554" s="19" t="n"/>
      <c r="G554" s="18" t="n"/>
      <c r="H554">
        <f>IF(OR($E554="Raudt",$E554="Rødt",$E554="Raud",$E554="Rød"),3,IF($E554="Gult",2,IF(OR($E554="Grønt",$E554="Grøn",$E554="Grønn"),1,0)))</f>
        <v/>
      </c>
      <c r="I554">
        <f>IF(AND($C554&lt;&gt;"",$A554='Oversikt'!$C$4,$B554='Oversikt'!$C$5,$C554='Elevkort'!$C$4),MAX(I$1:I553)+1,"")</f>
        <v/>
      </c>
    </row>
    <row r="555" ht="20" customHeight="1">
      <c r="A555" s="18" t="n"/>
      <c r="B555" s="18" t="n"/>
      <c r="C555" s="18" t="n"/>
      <c r="D555" s="18" t="n"/>
      <c r="E555" s="18" t="n"/>
      <c r="F555" s="19" t="n"/>
      <c r="G555" s="18" t="n"/>
      <c r="H555">
        <f>IF(OR($E555="Raudt",$E555="Rødt",$E555="Raud",$E555="Rød"),3,IF($E555="Gult",2,IF(OR($E555="Grønt",$E555="Grøn",$E555="Grønn"),1,0)))</f>
        <v/>
      </c>
      <c r="I555">
        <f>IF(AND($C555&lt;&gt;"",$A555='Oversikt'!$C$4,$B555='Oversikt'!$C$5,$C555='Elevkort'!$C$4),MAX(I$1:I554)+1,"")</f>
        <v/>
      </c>
    </row>
    <row r="556" ht="20" customHeight="1">
      <c r="A556" s="18" t="n"/>
      <c r="B556" s="18" t="n"/>
      <c r="C556" s="18" t="n"/>
      <c r="D556" s="18" t="n"/>
      <c r="E556" s="18" t="n"/>
      <c r="F556" s="19" t="n"/>
      <c r="G556" s="18" t="n"/>
      <c r="H556">
        <f>IF(OR($E556="Raudt",$E556="Rødt",$E556="Raud",$E556="Rød"),3,IF($E556="Gult",2,IF(OR($E556="Grønt",$E556="Grøn",$E556="Grønn"),1,0)))</f>
        <v/>
      </c>
      <c r="I556">
        <f>IF(AND($C556&lt;&gt;"",$A556='Oversikt'!$C$4,$B556='Oversikt'!$C$5,$C556='Elevkort'!$C$4),MAX(I$1:I555)+1,"")</f>
        <v/>
      </c>
    </row>
    <row r="557" ht="20" customHeight="1">
      <c r="A557" s="18" t="n"/>
      <c r="B557" s="18" t="n"/>
      <c r="C557" s="18" t="n"/>
      <c r="D557" s="18" t="n"/>
      <c r="E557" s="18" t="n"/>
      <c r="F557" s="19" t="n"/>
      <c r="G557" s="18" t="n"/>
      <c r="H557">
        <f>IF(OR($E557="Raudt",$E557="Rødt",$E557="Raud",$E557="Rød"),3,IF($E557="Gult",2,IF(OR($E557="Grønt",$E557="Grøn",$E557="Grønn"),1,0)))</f>
        <v/>
      </c>
      <c r="I557">
        <f>IF(AND($C557&lt;&gt;"",$A557='Oversikt'!$C$4,$B557='Oversikt'!$C$5,$C557='Elevkort'!$C$4),MAX(I$1:I556)+1,"")</f>
        <v/>
      </c>
    </row>
    <row r="558" ht="20" customHeight="1">
      <c r="A558" s="18" t="n"/>
      <c r="B558" s="18" t="n"/>
      <c r="C558" s="18" t="n"/>
      <c r="D558" s="18" t="n"/>
      <c r="E558" s="18" t="n"/>
      <c r="F558" s="19" t="n"/>
      <c r="G558" s="18" t="n"/>
      <c r="H558">
        <f>IF(OR($E558="Raudt",$E558="Rødt",$E558="Raud",$E558="Rød"),3,IF($E558="Gult",2,IF(OR($E558="Grønt",$E558="Grøn",$E558="Grønn"),1,0)))</f>
        <v/>
      </c>
      <c r="I558">
        <f>IF(AND($C558&lt;&gt;"",$A558='Oversikt'!$C$4,$B558='Oversikt'!$C$5,$C558='Elevkort'!$C$4),MAX(I$1:I557)+1,"")</f>
        <v/>
      </c>
    </row>
    <row r="559" ht="20" customHeight="1">
      <c r="A559" s="18" t="n"/>
      <c r="B559" s="18" t="n"/>
      <c r="C559" s="18" t="n"/>
      <c r="D559" s="18" t="n"/>
      <c r="E559" s="18" t="n"/>
      <c r="F559" s="19" t="n"/>
      <c r="G559" s="18" t="n"/>
      <c r="H559">
        <f>IF(OR($E559="Raudt",$E559="Rødt",$E559="Raud",$E559="Rød"),3,IF($E559="Gult",2,IF(OR($E559="Grønt",$E559="Grøn",$E559="Grønn"),1,0)))</f>
        <v/>
      </c>
      <c r="I559">
        <f>IF(AND($C559&lt;&gt;"",$A559='Oversikt'!$C$4,$B559='Oversikt'!$C$5,$C559='Elevkort'!$C$4),MAX(I$1:I558)+1,"")</f>
        <v/>
      </c>
    </row>
    <row r="560" ht="20" customHeight="1">
      <c r="A560" s="18" t="n"/>
      <c r="B560" s="18" t="n"/>
      <c r="C560" s="18" t="n"/>
      <c r="D560" s="18" t="n"/>
      <c r="E560" s="18" t="n"/>
      <c r="F560" s="19" t="n"/>
      <c r="G560" s="18" t="n"/>
      <c r="H560">
        <f>IF(OR($E560="Raudt",$E560="Rødt",$E560="Raud",$E560="Rød"),3,IF($E560="Gult",2,IF(OR($E560="Grønt",$E560="Grøn",$E560="Grønn"),1,0)))</f>
        <v/>
      </c>
      <c r="I560">
        <f>IF(AND($C560&lt;&gt;"",$A560='Oversikt'!$C$4,$B560='Oversikt'!$C$5,$C560='Elevkort'!$C$4),MAX(I$1:I559)+1,"")</f>
        <v/>
      </c>
    </row>
    <row r="561" ht="20" customHeight="1">
      <c r="A561" s="18" t="n"/>
      <c r="B561" s="18" t="n"/>
      <c r="C561" s="18" t="n"/>
      <c r="D561" s="18" t="n"/>
      <c r="E561" s="18" t="n"/>
      <c r="F561" s="19" t="n"/>
      <c r="G561" s="18" t="n"/>
      <c r="H561">
        <f>IF(OR($E561="Raudt",$E561="Rødt",$E561="Raud",$E561="Rød"),3,IF($E561="Gult",2,IF(OR($E561="Grønt",$E561="Grøn",$E561="Grønn"),1,0)))</f>
        <v/>
      </c>
      <c r="I561">
        <f>IF(AND($C561&lt;&gt;"",$A561='Oversikt'!$C$4,$B561='Oversikt'!$C$5,$C561='Elevkort'!$C$4),MAX(I$1:I560)+1,"")</f>
        <v/>
      </c>
    </row>
    <row r="562" ht="20" customHeight="1">
      <c r="A562" s="18" t="n"/>
      <c r="B562" s="18" t="n"/>
      <c r="C562" s="18" t="n"/>
      <c r="D562" s="18" t="n"/>
      <c r="E562" s="18" t="n"/>
      <c r="F562" s="19" t="n"/>
      <c r="G562" s="18" t="n"/>
      <c r="H562">
        <f>IF(OR($E562="Raudt",$E562="Rødt",$E562="Raud",$E562="Rød"),3,IF($E562="Gult",2,IF(OR($E562="Grønt",$E562="Grøn",$E562="Grønn"),1,0)))</f>
        <v/>
      </c>
      <c r="I562">
        <f>IF(AND($C562&lt;&gt;"",$A562='Oversikt'!$C$4,$B562='Oversikt'!$C$5,$C562='Elevkort'!$C$4),MAX(I$1:I561)+1,"")</f>
        <v/>
      </c>
    </row>
    <row r="563" ht="20" customHeight="1">
      <c r="A563" s="18" t="n"/>
      <c r="B563" s="18" t="n"/>
      <c r="C563" s="18" t="n"/>
      <c r="D563" s="18" t="n"/>
      <c r="E563" s="18" t="n"/>
      <c r="F563" s="19" t="n"/>
      <c r="G563" s="18" t="n"/>
      <c r="H563">
        <f>IF(OR($E563="Raudt",$E563="Rødt",$E563="Raud",$E563="Rød"),3,IF($E563="Gult",2,IF(OR($E563="Grønt",$E563="Grøn",$E563="Grønn"),1,0)))</f>
        <v/>
      </c>
      <c r="I563">
        <f>IF(AND($C563&lt;&gt;"",$A563='Oversikt'!$C$4,$B563='Oversikt'!$C$5,$C563='Elevkort'!$C$4),MAX(I$1:I562)+1,"")</f>
        <v/>
      </c>
    </row>
    <row r="564" ht="20" customHeight="1">
      <c r="A564" s="18" t="n"/>
      <c r="B564" s="18" t="n"/>
      <c r="C564" s="18" t="n"/>
      <c r="D564" s="18" t="n"/>
      <c r="E564" s="18" t="n"/>
      <c r="F564" s="19" t="n"/>
      <c r="G564" s="18" t="n"/>
      <c r="H564">
        <f>IF(OR($E564="Raudt",$E564="Rødt",$E564="Raud",$E564="Rød"),3,IF($E564="Gult",2,IF(OR($E564="Grønt",$E564="Grøn",$E564="Grønn"),1,0)))</f>
        <v/>
      </c>
      <c r="I564">
        <f>IF(AND($C564&lt;&gt;"",$A564='Oversikt'!$C$4,$B564='Oversikt'!$C$5,$C564='Elevkort'!$C$4),MAX(I$1:I563)+1,"")</f>
        <v/>
      </c>
    </row>
    <row r="565" ht="20" customHeight="1">
      <c r="A565" s="18" t="n"/>
      <c r="B565" s="18" t="n"/>
      <c r="C565" s="18" t="n"/>
      <c r="D565" s="18" t="n"/>
      <c r="E565" s="18" t="n"/>
      <c r="F565" s="19" t="n"/>
      <c r="G565" s="18" t="n"/>
      <c r="H565">
        <f>IF(OR($E565="Raudt",$E565="Rødt",$E565="Raud",$E565="Rød"),3,IF($E565="Gult",2,IF(OR($E565="Grønt",$E565="Grøn",$E565="Grønn"),1,0)))</f>
        <v/>
      </c>
      <c r="I565">
        <f>IF(AND($C565&lt;&gt;"",$A565='Oversikt'!$C$4,$B565='Oversikt'!$C$5,$C565='Elevkort'!$C$4),MAX(I$1:I564)+1,"")</f>
        <v/>
      </c>
    </row>
    <row r="566" ht="20" customHeight="1">
      <c r="A566" s="18" t="n"/>
      <c r="B566" s="18" t="n"/>
      <c r="C566" s="18" t="n"/>
      <c r="D566" s="18" t="n"/>
      <c r="E566" s="18" t="n"/>
      <c r="F566" s="19" t="n"/>
      <c r="G566" s="18" t="n"/>
      <c r="H566">
        <f>IF(OR($E566="Raudt",$E566="Rødt",$E566="Raud",$E566="Rød"),3,IF($E566="Gult",2,IF(OR($E566="Grønt",$E566="Grøn",$E566="Grønn"),1,0)))</f>
        <v/>
      </c>
      <c r="I566">
        <f>IF(AND($C566&lt;&gt;"",$A566='Oversikt'!$C$4,$B566='Oversikt'!$C$5,$C566='Elevkort'!$C$4),MAX(I$1:I565)+1,"")</f>
        <v/>
      </c>
    </row>
    <row r="567" ht="20" customHeight="1">
      <c r="A567" s="18" t="n"/>
      <c r="B567" s="18" t="n"/>
      <c r="C567" s="18" t="n"/>
      <c r="D567" s="18" t="n"/>
      <c r="E567" s="18" t="n"/>
      <c r="F567" s="19" t="n"/>
      <c r="G567" s="18" t="n"/>
      <c r="H567">
        <f>IF(OR($E567="Raudt",$E567="Rødt",$E567="Raud",$E567="Rød"),3,IF($E567="Gult",2,IF(OR($E567="Grønt",$E567="Grøn",$E567="Grønn"),1,0)))</f>
        <v/>
      </c>
      <c r="I567">
        <f>IF(AND($C567&lt;&gt;"",$A567='Oversikt'!$C$4,$B567='Oversikt'!$C$5,$C567='Elevkort'!$C$4),MAX(I$1:I566)+1,"")</f>
        <v/>
      </c>
    </row>
    <row r="568" ht="20" customHeight="1">
      <c r="A568" s="18" t="n"/>
      <c r="B568" s="18" t="n"/>
      <c r="C568" s="18" t="n"/>
      <c r="D568" s="18" t="n"/>
      <c r="E568" s="18" t="n"/>
      <c r="F568" s="19" t="n"/>
      <c r="G568" s="18" t="n"/>
      <c r="H568">
        <f>IF(OR($E568="Raudt",$E568="Rødt",$E568="Raud",$E568="Rød"),3,IF($E568="Gult",2,IF(OR($E568="Grønt",$E568="Grøn",$E568="Grønn"),1,0)))</f>
        <v/>
      </c>
      <c r="I568">
        <f>IF(AND($C568&lt;&gt;"",$A568='Oversikt'!$C$4,$B568='Oversikt'!$C$5,$C568='Elevkort'!$C$4),MAX(I$1:I567)+1,"")</f>
        <v/>
      </c>
    </row>
    <row r="569" ht="20" customHeight="1">
      <c r="A569" s="18" t="n"/>
      <c r="B569" s="18" t="n"/>
      <c r="C569" s="18" t="n"/>
      <c r="D569" s="18" t="n"/>
      <c r="E569" s="18" t="n"/>
      <c r="F569" s="19" t="n"/>
      <c r="G569" s="18" t="n"/>
      <c r="H569">
        <f>IF(OR($E569="Raudt",$E569="Rødt",$E569="Raud",$E569="Rød"),3,IF($E569="Gult",2,IF(OR($E569="Grønt",$E569="Grøn",$E569="Grønn"),1,0)))</f>
        <v/>
      </c>
      <c r="I569">
        <f>IF(AND($C569&lt;&gt;"",$A569='Oversikt'!$C$4,$B569='Oversikt'!$C$5,$C569='Elevkort'!$C$4),MAX(I$1:I568)+1,"")</f>
        <v/>
      </c>
    </row>
    <row r="570" ht="20" customHeight="1">
      <c r="A570" s="18" t="n"/>
      <c r="B570" s="18" t="n"/>
      <c r="C570" s="18" t="n"/>
      <c r="D570" s="18" t="n"/>
      <c r="E570" s="18" t="n"/>
      <c r="F570" s="19" t="n"/>
      <c r="G570" s="18" t="n"/>
      <c r="H570">
        <f>IF(OR($E570="Raudt",$E570="Rødt",$E570="Raud",$E570="Rød"),3,IF($E570="Gult",2,IF(OR($E570="Grønt",$E570="Grøn",$E570="Grønn"),1,0)))</f>
        <v/>
      </c>
      <c r="I570">
        <f>IF(AND($C570&lt;&gt;"",$A570='Oversikt'!$C$4,$B570='Oversikt'!$C$5,$C570='Elevkort'!$C$4),MAX(I$1:I569)+1,"")</f>
        <v/>
      </c>
    </row>
    <row r="571" ht="20" customHeight="1">
      <c r="A571" s="18" t="n"/>
      <c r="B571" s="18" t="n"/>
      <c r="C571" s="18" t="n"/>
      <c r="D571" s="18" t="n"/>
      <c r="E571" s="18" t="n"/>
      <c r="F571" s="19" t="n"/>
      <c r="G571" s="18" t="n"/>
      <c r="H571">
        <f>IF(OR($E571="Raudt",$E571="Rødt",$E571="Raud",$E571="Rød"),3,IF($E571="Gult",2,IF(OR($E571="Grønt",$E571="Grøn",$E571="Grønn"),1,0)))</f>
        <v/>
      </c>
      <c r="I571">
        <f>IF(AND($C571&lt;&gt;"",$A571='Oversikt'!$C$4,$B571='Oversikt'!$C$5,$C571='Elevkort'!$C$4),MAX(I$1:I570)+1,"")</f>
        <v/>
      </c>
    </row>
    <row r="572" ht="20" customHeight="1">
      <c r="A572" s="18" t="n"/>
      <c r="B572" s="18" t="n"/>
      <c r="C572" s="18" t="n"/>
      <c r="D572" s="18" t="n"/>
      <c r="E572" s="18" t="n"/>
      <c r="F572" s="19" t="n"/>
      <c r="G572" s="18" t="n"/>
      <c r="H572">
        <f>IF(OR($E572="Raudt",$E572="Rødt",$E572="Raud",$E572="Rød"),3,IF($E572="Gult",2,IF(OR($E572="Grønt",$E572="Grøn",$E572="Grønn"),1,0)))</f>
        <v/>
      </c>
      <c r="I572">
        <f>IF(AND($C572&lt;&gt;"",$A572='Oversikt'!$C$4,$B572='Oversikt'!$C$5,$C572='Elevkort'!$C$4),MAX(I$1:I571)+1,"")</f>
        <v/>
      </c>
    </row>
    <row r="573" ht="20" customHeight="1">
      <c r="A573" s="18" t="n"/>
      <c r="B573" s="18" t="n"/>
      <c r="C573" s="18" t="n"/>
      <c r="D573" s="18" t="n"/>
      <c r="E573" s="18" t="n"/>
      <c r="F573" s="19" t="n"/>
      <c r="G573" s="18" t="n"/>
      <c r="H573">
        <f>IF(OR($E573="Raudt",$E573="Rødt",$E573="Raud",$E573="Rød"),3,IF($E573="Gult",2,IF(OR($E573="Grønt",$E573="Grøn",$E573="Grønn"),1,0)))</f>
        <v/>
      </c>
      <c r="I573">
        <f>IF(AND($C573&lt;&gt;"",$A573='Oversikt'!$C$4,$B573='Oversikt'!$C$5,$C573='Elevkort'!$C$4),MAX(I$1:I572)+1,"")</f>
        <v/>
      </c>
    </row>
    <row r="574" ht="20" customHeight="1">
      <c r="A574" s="18" t="n"/>
      <c r="B574" s="18" t="n"/>
      <c r="C574" s="18" t="n"/>
      <c r="D574" s="18" t="n"/>
      <c r="E574" s="18" t="n"/>
      <c r="F574" s="19" t="n"/>
      <c r="G574" s="18" t="n"/>
      <c r="H574">
        <f>IF(OR($E574="Raudt",$E574="Rødt",$E574="Raud",$E574="Rød"),3,IF($E574="Gult",2,IF(OR($E574="Grønt",$E574="Grøn",$E574="Grønn"),1,0)))</f>
        <v/>
      </c>
      <c r="I574">
        <f>IF(AND($C574&lt;&gt;"",$A574='Oversikt'!$C$4,$B574='Oversikt'!$C$5,$C574='Elevkort'!$C$4),MAX(I$1:I573)+1,"")</f>
        <v/>
      </c>
    </row>
    <row r="575" ht="20" customHeight="1">
      <c r="A575" s="18" t="n"/>
      <c r="B575" s="18" t="n"/>
      <c r="C575" s="18" t="n"/>
      <c r="D575" s="18" t="n"/>
      <c r="E575" s="18" t="n"/>
      <c r="F575" s="19" t="n"/>
      <c r="G575" s="18" t="n"/>
      <c r="H575">
        <f>IF(OR($E575="Raudt",$E575="Rødt",$E575="Raud",$E575="Rød"),3,IF($E575="Gult",2,IF(OR($E575="Grønt",$E575="Grøn",$E575="Grønn"),1,0)))</f>
        <v/>
      </c>
      <c r="I575">
        <f>IF(AND($C575&lt;&gt;"",$A575='Oversikt'!$C$4,$B575='Oversikt'!$C$5,$C575='Elevkort'!$C$4),MAX(I$1:I574)+1,"")</f>
        <v/>
      </c>
    </row>
    <row r="576" ht="20" customHeight="1">
      <c r="A576" s="18" t="n"/>
      <c r="B576" s="18" t="n"/>
      <c r="C576" s="18" t="n"/>
      <c r="D576" s="18" t="n"/>
      <c r="E576" s="18" t="n"/>
      <c r="F576" s="19" t="n"/>
      <c r="G576" s="18" t="n"/>
      <c r="H576">
        <f>IF(OR($E576="Raudt",$E576="Rødt",$E576="Raud",$E576="Rød"),3,IF($E576="Gult",2,IF(OR($E576="Grønt",$E576="Grøn",$E576="Grønn"),1,0)))</f>
        <v/>
      </c>
      <c r="I576">
        <f>IF(AND($C576&lt;&gt;"",$A576='Oversikt'!$C$4,$B576='Oversikt'!$C$5,$C576='Elevkort'!$C$4),MAX(I$1:I575)+1,"")</f>
        <v/>
      </c>
    </row>
    <row r="577" ht="20" customHeight="1">
      <c r="A577" s="18" t="n"/>
      <c r="B577" s="18" t="n"/>
      <c r="C577" s="18" t="n"/>
      <c r="D577" s="18" t="n"/>
      <c r="E577" s="18" t="n"/>
      <c r="F577" s="19" t="n"/>
      <c r="G577" s="18" t="n"/>
      <c r="H577">
        <f>IF(OR($E577="Raudt",$E577="Rødt",$E577="Raud",$E577="Rød"),3,IF($E577="Gult",2,IF(OR($E577="Grønt",$E577="Grøn",$E577="Grønn"),1,0)))</f>
        <v/>
      </c>
      <c r="I577">
        <f>IF(AND($C577&lt;&gt;"",$A577='Oversikt'!$C$4,$B577='Oversikt'!$C$5,$C577='Elevkort'!$C$4),MAX(I$1:I576)+1,"")</f>
        <v/>
      </c>
    </row>
    <row r="578" ht="20" customHeight="1">
      <c r="A578" s="18" t="n"/>
      <c r="B578" s="18" t="n"/>
      <c r="C578" s="18" t="n"/>
      <c r="D578" s="18" t="n"/>
      <c r="E578" s="18" t="n"/>
      <c r="F578" s="19" t="n"/>
      <c r="G578" s="18" t="n"/>
      <c r="H578">
        <f>IF(OR($E578="Raudt",$E578="Rødt",$E578="Raud",$E578="Rød"),3,IF($E578="Gult",2,IF(OR($E578="Grønt",$E578="Grøn",$E578="Grønn"),1,0)))</f>
        <v/>
      </c>
      <c r="I578">
        <f>IF(AND($C578&lt;&gt;"",$A578='Oversikt'!$C$4,$B578='Oversikt'!$C$5,$C578='Elevkort'!$C$4),MAX(I$1:I577)+1,"")</f>
        <v/>
      </c>
    </row>
    <row r="579" ht="20" customHeight="1">
      <c r="A579" s="18" t="n"/>
      <c r="B579" s="18" t="n"/>
      <c r="C579" s="18" t="n"/>
      <c r="D579" s="18" t="n"/>
      <c r="E579" s="18" t="n"/>
      <c r="F579" s="19" t="n"/>
      <c r="G579" s="18" t="n"/>
      <c r="H579">
        <f>IF(OR($E579="Raudt",$E579="Rødt",$E579="Raud",$E579="Rød"),3,IF($E579="Gult",2,IF(OR($E579="Grønt",$E579="Grøn",$E579="Grønn"),1,0)))</f>
        <v/>
      </c>
      <c r="I579">
        <f>IF(AND($C579&lt;&gt;"",$A579='Oversikt'!$C$4,$B579='Oversikt'!$C$5,$C579='Elevkort'!$C$4),MAX(I$1:I578)+1,"")</f>
        <v/>
      </c>
    </row>
    <row r="580" ht="20" customHeight="1">
      <c r="A580" s="18" t="n"/>
      <c r="B580" s="18" t="n"/>
      <c r="C580" s="18" t="n"/>
      <c r="D580" s="18" t="n"/>
      <c r="E580" s="18" t="n"/>
      <c r="F580" s="19" t="n"/>
      <c r="G580" s="18" t="n"/>
      <c r="H580">
        <f>IF(OR($E580="Raudt",$E580="Rødt",$E580="Raud",$E580="Rød"),3,IF($E580="Gult",2,IF(OR($E580="Grønt",$E580="Grøn",$E580="Grønn"),1,0)))</f>
        <v/>
      </c>
      <c r="I580">
        <f>IF(AND($C580&lt;&gt;"",$A580='Oversikt'!$C$4,$B580='Oversikt'!$C$5,$C580='Elevkort'!$C$4),MAX(I$1:I579)+1,"")</f>
        <v/>
      </c>
    </row>
    <row r="581" ht="20" customHeight="1">
      <c r="A581" s="18" t="n"/>
      <c r="B581" s="18" t="n"/>
      <c r="C581" s="18" t="n"/>
      <c r="D581" s="18" t="n"/>
      <c r="E581" s="18" t="n"/>
      <c r="F581" s="19" t="n"/>
      <c r="G581" s="18" t="n"/>
      <c r="H581">
        <f>IF(OR($E581="Raudt",$E581="Rødt",$E581="Raud",$E581="Rød"),3,IF($E581="Gult",2,IF(OR($E581="Grønt",$E581="Grøn",$E581="Grønn"),1,0)))</f>
        <v/>
      </c>
      <c r="I581">
        <f>IF(AND($C581&lt;&gt;"",$A581='Oversikt'!$C$4,$B581='Oversikt'!$C$5,$C581='Elevkort'!$C$4),MAX(I$1:I580)+1,"")</f>
        <v/>
      </c>
    </row>
    <row r="582" ht="20" customHeight="1">
      <c r="A582" s="18" t="n"/>
      <c r="B582" s="18" t="n"/>
      <c r="C582" s="18" t="n"/>
      <c r="D582" s="18" t="n"/>
      <c r="E582" s="18" t="n"/>
      <c r="F582" s="19" t="n"/>
      <c r="G582" s="18" t="n"/>
      <c r="H582">
        <f>IF(OR($E582="Raudt",$E582="Rødt",$E582="Raud",$E582="Rød"),3,IF($E582="Gult",2,IF(OR($E582="Grønt",$E582="Grøn",$E582="Grønn"),1,0)))</f>
        <v/>
      </c>
      <c r="I582">
        <f>IF(AND($C582&lt;&gt;"",$A582='Oversikt'!$C$4,$B582='Oversikt'!$C$5,$C582='Elevkort'!$C$4),MAX(I$1:I581)+1,"")</f>
        <v/>
      </c>
    </row>
    <row r="583" ht="20" customHeight="1">
      <c r="A583" s="18" t="n"/>
      <c r="B583" s="18" t="n"/>
      <c r="C583" s="18" t="n"/>
      <c r="D583" s="18" t="n"/>
      <c r="E583" s="18" t="n"/>
      <c r="F583" s="19" t="n"/>
      <c r="G583" s="18" t="n"/>
      <c r="H583">
        <f>IF(OR($E583="Raudt",$E583="Rødt",$E583="Raud",$E583="Rød"),3,IF($E583="Gult",2,IF(OR($E583="Grønt",$E583="Grøn",$E583="Grønn"),1,0)))</f>
        <v/>
      </c>
      <c r="I583">
        <f>IF(AND($C583&lt;&gt;"",$A583='Oversikt'!$C$4,$B583='Oversikt'!$C$5,$C583='Elevkort'!$C$4),MAX(I$1:I582)+1,"")</f>
        <v/>
      </c>
    </row>
    <row r="584" ht="20" customHeight="1">
      <c r="A584" s="18" t="n"/>
      <c r="B584" s="18" t="n"/>
      <c r="C584" s="18" t="n"/>
      <c r="D584" s="18" t="n"/>
      <c r="E584" s="18" t="n"/>
      <c r="F584" s="19" t="n"/>
      <c r="G584" s="18" t="n"/>
      <c r="H584">
        <f>IF(OR($E584="Raudt",$E584="Rødt",$E584="Raud",$E584="Rød"),3,IF($E584="Gult",2,IF(OR($E584="Grønt",$E584="Grøn",$E584="Grønn"),1,0)))</f>
        <v/>
      </c>
      <c r="I584">
        <f>IF(AND($C584&lt;&gt;"",$A584='Oversikt'!$C$4,$B584='Oversikt'!$C$5,$C584='Elevkort'!$C$4),MAX(I$1:I583)+1,"")</f>
        <v/>
      </c>
    </row>
    <row r="585" ht="20" customHeight="1">
      <c r="A585" s="18" t="n"/>
      <c r="B585" s="18" t="n"/>
      <c r="C585" s="18" t="n"/>
      <c r="D585" s="18" t="n"/>
      <c r="E585" s="18" t="n"/>
      <c r="F585" s="19" t="n"/>
      <c r="G585" s="18" t="n"/>
      <c r="H585">
        <f>IF(OR($E585="Raudt",$E585="Rødt",$E585="Raud",$E585="Rød"),3,IF($E585="Gult",2,IF(OR($E585="Grønt",$E585="Grøn",$E585="Grønn"),1,0)))</f>
        <v/>
      </c>
      <c r="I585">
        <f>IF(AND($C585&lt;&gt;"",$A585='Oversikt'!$C$4,$B585='Oversikt'!$C$5,$C585='Elevkort'!$C$4),MAX(I$1:I584)+1,"")</f>
        <v/>
      </c>
    </row>
    <row r="586" ht="20" customHeight="1">
      <c r="A586" s="18" t="n"/>
      <c r="B586" s="18" t="n"/>
      <c r="C586" s="18" t="n"/>
      <c r="D586" s="18" t="n"/>
      <c r="E586" s="18" t="n"/>
      <c r="F586" s="19" t="n"/>
      <c r="G586" s="18" t="n"/>
      <c r="H586">
        <f>IF(OR($E586="Raudt",$E586="Rødt",$E586="Raud",$E586="Rød"),3,IF($E586="Gult",2,IF(OR($E586="Grønt",$E586="Grøn",$E586="Grønn"),1,0)))</f>
        <v/>
      </c>
      <c r="I586">
        <f>IF(AND($C586&lt;&gt;"",$A586='Oversikt'!$C$4,$B586='Oversikt'!$C$5,$C586='Elevkort'!$C$4),MAX(I$1:I585)+1,"")</f>
        <v/>
      </c>
    </row>
    <row r="587" ht="20" customHeight="1">
      <c r="A587" s="18" t="n"/>
      <c r="B587" s="18" t="n"/>
      <c r="C587" s="18" t="n"/>
      <c r="D587" s="18" t="n"/>
      <c r="E587" s="18" t="n"/>
      <c r="F587" s="19" t="n"/>
      <c r="G587" s="18" t="n"/>
      <c r="H587">
        <f>IF(OR($E587="Raudt",$E587="Rødt",$E587="Raud",$E587="Rød"),3,IF($E587="Gult",2,IF(OR($E587="Grønt",$E587="Grøn",$E587="Grønn"),1,0)))</f>
        <v/>
      </c>
      <c r="I587">
        <f>IF(AND($C587&lt;&gt;"",$A587='Oversikt'!$C$4,$B587='Oversikt'!$C$5,$C587='Elevkort'!$C$4),MAX(I$1:I586)+1,"")</f>
        <v/>
      </c>
    </row>
    <row r="588" ht="20" customHeight="1">
      <c r="A588" s="18" t="n"/>
      <c r="B588" s="18" t="n"/>
      <c r="C588" s="18" t="n"/>
      <c r="D588" s="18" t="n"/>
      <c r="E588" s="18" t="n"/>
      <c r="F588" s="19" t="n"/>
      <c r="G588" s="18" t="n"/>
      <c r="H588">
        <f>IF(OR($E588="Raudt",$E588="Rødt",$E588="Raud",$E588="Rød"),3,IF($E588="Gult",2,IF(OR($E588="Grønt",$E588="Grøn",$E588="Grønn"),1,0)))</f>
        <v/>
      </c>
      <c r="I588">
        <f>IF(AND($C588&lt;&gt;"",$A588='Oversikt'!$C$4,$B588='Oversikt'!$C$5,$C588='Elevkort'!$C$4),MAX(I$1:I587)+1,"")</f>
        <v/>
      </c>
    </row>
    <row r="589" ht="20" customHeight="1">
      <c r="A589" s="18" t="n"/>
      <c r="B589" s="18" t="n"/>
      <c r="C589" s="18" t="n"/>
      <c r="D589" s="18" t="n"/>
      <c r="E589" s="18" t="n"/>
      <c r="F589" s="19" t="n"/>
      <c r="G589" s="18" t="n"/>
      <c r="H589">
        <f>IF(OR($E589="Raudt",$E589="Rødt",$E589="Raud",$E589="Rød"),3,IF($E589="Gult",2,IF(OR($E589="Grønt",$E589="Grøn",$E589="Grønn"),1,0)))</f>
        <v/>
      </c>
      <c r="I589">
        <f>IF(AND($C589&lt;&gt;"",$A589='Oversikt'!$C$4,$B589='Oversikt'!$C$5,$C589='Elevkort'!$C$4),MAX(I$1:I588)+1,"")</f>
        <v/>
      </c>
    </row>
    <row r="590" ht="20" customHeight="1">
      <c r="A590" s="18" t="n"/>
      <c r="B590" s="18" t="n"/>
      <c r="C590" s="18" t="n"/>
      <c r="D590" s="18" t="n"/>
      <c r="E590" s="18" t="n"/>
      <c r="F590" s="19" t="n"/>
      <c r="G590" s="18" t="n"/>
      <c r="H590">
        <f>IF(OR($E590="Raudt",$E590="Rødt",$E590="Raud",$E590="Rød"),3,IF($E590="Gult",2,IF(OR($E590="Grønt",$E590="Grøn",$E590="Grønn"),1,0)))</f>
        <v/>
      </c>
      <c r="I590">
        <f>IF(AND($C590&lt;&gt;"",$A590='Oversikt'!$C$4,$B590='Oversikt'!$C$5,$C590='Elevkort'!$C$4),MAX(I$1:I589)+1,"")</f>
        <v/>
      </c>
    </row>
    <row r="591" ht="20" customHeight="1">
      <c r="A591" s="18" t="n"/>
      <c r="B591" s="18" t="n"/>
      <c r="C591" s="18" t="n"/>
      <c r="D591" s="18" t="n"/>
      <c r="E591" s="18" t="n"/>
      <c r="F591" s="19" t="n"/>
      <c r="G591" s="18" t="n"/>
      <c r="H591">
        <f>IF(OR($E591="Raudt",$E591="Rødt",$E591="Raud",$E591="Rød"),3,IF($E591="Gult",2,IF(OR($E591="Grønt",$E591="Grøn",$E591="Grønn"),1,0)))</f>
        <v/>
      </c>
      <c r="I591">
        <f>IF(AND($C591&lt;&gt;"",$A591='Oversikt'!$C$4,$B591='Oversikt'!$C$5,$C591='Elevkort'!$C$4),MAX(I$1:I590)+1,"")</f>
        <v/>
      </c>
    </row>
    <row r="592" ht="20" customHeight="1">
      <c r="A592" s="18" t="n"/>
      <c r="B592" s="18" t="n"/>
      <c r="C592" s="18" t="n"/>
      <c r="D592" s="18" t="n"/>
      <c r="E592" s="18" t="n"/>
      <c r="F592" s="19" t="n"/>
      <c r="G592" s="18" t="n"/>
      <c r="H592">
        <f>IF(OR($E592="Raudt",$E592="Rødt",$E592="Raud",$E592="Rød"),3,IF($E592="Gult",2,IF(OR($E592="Grønt",$E592="Grøn",$E592="Grønn"),1,0)))</f>
        <v/>
      </c>
      <c r="I592">
        <f>IF(AND($C592&lt;&gt;"",$A592='Oversikt'!$C$4,$B592='Oversikt'!$C$5,$C592='Elevkort'!$C$4),MAX(I$1:I591)+1,"")</f>
        <v/>
      </c>
    </row>
    <row r="593" ht="20" customHeight="1">
      <c r="A593" s="18" t="n"/>
      <c r="B593" s="18" t="n"/>
      <c r="C593" s="18" t="n"/>
      <c r="D593" s="18" t="n"/>
      <c r="E593" s="18" t="n"/>
      <c r="F593" s="19" t="n"/>
      <c r="G593" s="18" t="n"/>
      <c r="H593">
        <f>IF(OR($E593="Raudt",$E593="Rødt",$E593="Raud",$E593="Rød"),3,IF($E593="Gult",2,IF(OR($E593="Grønt",$E593="Grøn",$E593="Grønn"),1,0)))</f>
        <v/>
      </c>
      <c r="I593">
        <f>IF(AND($C593&lt;&gt;"",$A593='Oversikt'!$C$4,$B593='Oversikt'!$C$5,$C593='Elevkort'!$C$4),MAX(I$1:I592)+1,"")</f>
        <v/>
      </c>
    </row>
    <row r="594" ht="20" customHeight="1">
      <c r="A594" s="18" t="n"/>
      <c r="B594" s="18" t="n"/>
      <c r="C594" s="18" t="n"/>
      <c r="D594" s="18" t="n"/>
      <c r="E594" s="18" t="n"/>
      <c r="F594" s="19" t="n"/>
      <c r="G594" s="18" t="n"/>
      <c r="H594">
        <f>IF(OR($E594="Raudt",$E594="Rødt",$E594="Raud",$E594="Rød"),3,IF($E594="Gult",2,IF(OR($E594="Grønt",$E594="Grøn",$E594="Grønn"),1,0)))</f>
        <v/>
      </c>
      <c r="I594">
        <f>IF(AND($C594&lt;&gt;"",$A594='Oversikt'!$C$4,$B594='Oversikt'!$C$5,$C594='Elevkort'!$C$4),MAX(I$1:I593)+1,"")</f>
        <v/>
      </c>
    </row>
    <row r="595" ht="20" customHeight="1">
      <c r="A595" s="18" t="n"/>
      <c r="B595" s="18" t="n"/>
      <c r="C595" s="18" t="n"/>
      <c r="D595" s="18" t="n"/>
      <c r="E595" s="18" t="n"/>
      <c r="F595" s="19" t="n"/>
      <c r="G595" s="18" t="n"/>
      <c r="H595">
        <f>IF(OR($E595="Raudt",$E595="Rødt",$E595="Raud",$E595="Rød"),3,IF($E595="Gult",2,IF(OR($E595="Grønt",$E595="Grøn",$E595="Grønn"),1,0)))</f>
        <v/>
      </c>
      <c r="I595">
        <f>IF(AND($C595&lt;&gt;"",$A595='Oversikt'!$C$4,$B595='Oversikt'!$C$5,$C595='Elevkort'!$C$4),MAX(I$1:I594)+1,"")</f>
        <v/>
      </c>
    </row>
    <row r="596" ht="20" customHeight="1">
      <c r="A596" s="18" t="n"/>
      <c r="B596" s="18" t="n"/>
      <c r="C596" s="18" t="n"/>
      <c r="D596" s="18" t="n"/>
      <c r="E596" s="18" t="n"/>
      <c r="F596" s="19" t="n"/>
      <c r="G596" s="18" t="n"/>
      <c r="H596">
        <f>IF(OR($E596="Raudt",$E596="Rødt",$E596="Raud",$E596="Rød"),3,IF($E596="Gult",2,IF(OR($E596="Grønt",$E596="Grøn",$E596="Grønn"),1,0)))</f>
        <v/>
      </c>
      <c r="I596">
        <f>IF(AND($C596&lt;&gt;"",$A596='Oversikt'!$C$4,$B596='Oversikt'!$C$5,$C596='Elevkort'!$C$4),MAX(I$1:I595)+1,"")</f>
        <v/>
      </c>
    </row>
    <row r="597" ht="20" customHeight="1">
      <c r="A597" s="18" t="n"/>
      <c r="B597" s="18" t="n"/>
      <c r="C597" s="18" t="n"/>
      <c r="D597" s="18" t="n"/>
      <c r="E597" s="18" t="n"/>
      <c r="F597" s="19" t="n"/>
      <c r="G597" s="18" t="n"/>
      <c r="H597">
        <f>IF(OR($E597="Raudt",$E597="Rødt",$E597="Raud",$E597="Rød"),3,IF($E597="Gult",2,IF(OR($E597="Grønt",$E597="Grøn",$E597="Grønn"),1,0)))</f>
        <v/>
      </c>
      <c r="I597">
        <f>IF(AND($C597&lt;&gt;"",$A597='Oversikt'!$C$4,$B597='Oversikt'!$C$5,$C597='Elevkort'!$C$4),MAX(I$1:I596)+1,"")</f>
        <v/>
      </c>
    </row>
    <row r="598" ht="20" customHeight="1">
      <c r="A598" s="18" t="n"/>
      <c r="B598" s="18" t="n"/>
      <c r="C598" s="18" t="n"/>
      <c r="D598" s="18" t="n"/>
      <c r="E598" s="18" t="n"/>
      <c r="F598" s="19" t="n"/>
      <c r="G598" s="18" t="n"/>
      <c r="H598">
        <f>IF(OR($E598="Raudt",$E598="Rødt",$E598="Raud",$E598="Rød"),3,IF($E598="Gult",2,IF(OR($E598="Grønt",$E598="Grøn",$E598="Grønn"),1,0)))</f>
        <v/>
      </c>
      <c r="I598">
        <f>IF(AND($C598&lt;&gt;"",$A598='Oversikt'!$C$4,$B598='Oversikt'!$C$5,$C598='Elevkort'!$C$4),MAX(I$1:I597)+1,"")</f>
        <v/>
      </c>
    </row>
    <row r="599" ht="20" customHeight="1">
      <c r="A599" s="18" t="n"/>
      <c r="B599" s="18" t="n"/>
      <c r="C599" s="18" t="n"/>
      <c r="D599" s="18" t="n"/>
      <c r="E599" s="18" t="n"/>
      <c r="F599" s="19" t="n"/>
      <c r="G599" s="18" t="n"/>
      <c r="H599">
        <f>IF(OR($E599="Raudt",$E599="Rødt",$E599="Raud",$E599="Rød"),3,IF($E599="Gult",2,IF(OR($E599="Grønt",$E599="Grøn",$E599="Grønn"),1,0)))</f>
        <v/>
      </c>
      <c r="I599">
        <f>IF(AND($C599&lt;&gt;"",$A599='Oversikt'!$C$4,$B599='Oversikt'!$C$5,$C599='Elevkort'!$C$4),MAX(I$1:I598)+1,"")</f>
        <v/>
      </c>
    </row>
    <row r="600" ht="20" customHeight="1">
      <c r="A600" s="18" t="n"/>
      <c r="B600" s="18" t="n"/>
      <c r="C600" s="18" t="n"/>
      <c r="D600" s="18" t="n"/>
      <c r="E600" s="18" t="n"/>
      <c r="F600" s="19" t="n"/>
      <c r="G600" s="18" t="n"/>
      <c r="H600">
        <f>IF(OR($E600="Raudt",$E600="Rødt",$E600="Raud",$E600="Rød"),3,IF($E600="Gult",2,IF(OR($E600="Grønt",$E600="Grøn",$E600="Grønn"),1,0)))</f>
        <v/>
      </c>
      <c r="I600">
        <f>IF(AND($C600&lt;&gt;"",$A600='Oversikt'!$C$4,$B600='Oversikt'!$C$5,$C600='Elevkort'!$C$4),MAX(I$1:I599)+1,"")</f>
        <v/>
      </c>
    </row>
    <row r="601" ht="20" customHeight="1">
      <c r="A601" s="18" t="n"/>
      <c r="B601" s="18" t="n"/>
      <c r="C601" s="18" t="n"/>
      <c r="D601" s="18" t="n"/>
      <c r="E601" s="18" t="n"/>
      <c r="F601" s="19" t="n"/>
      <c r="G601" s="18" t="n"/>
      <c r="H601">
        <f>IF(OR($E601="Raudt",$E601="Rødt",$E601="Raud",$E601="Rød"),3,IF($E601="Gult",2,IF(OR($E601="Grønt",$E601="Grøn",$E601="Grønn"),1,0)))</f>
        <v/>
      </c>
      <c r="I601">
        <f>IF(AND($C601&lt;&gt;"",$A601='Oversikt'!$C$4,$B601='Oversikt'!$C$5,$C601='Elevkort'!$C$4),MAX(I$1:I600)+1,"")</f>
        <v/>
      </c>
    </row>
    <row r="602" ht="20" customHeight="1">
      <c r="A602" s="18" t="n"/>
      <c r="B602" s="18" t="n"/>
      <c r="C602" s="18" t="n"/>
      <c r="D602" s="18" t="n"/>
      <c r="E602" s="18" t="n"/>
      <c r="F602" s="19" t="n"/>
      <c r="G602" s="18" t="n"/>
      <c r="H602">
        <f>IF(OR($E602="Raudt",$E602="Rødt",$E602="Raud",$E602="Rød"),3,IF($E602="Gult",2,IF(OR($E602="Grønt",$E602="Grøn",$E602="Grønn"),1,0)))</f>
        <v/>
      </c>
      <c r="I602">
        <f>IF(AND($C602&lt;&gt;"",$A602='Oversikt'!$C$4,$B602='Oversikt'!$C$5,$C602='Elevkort'!$C$4),MAX(I$1:I601)+1,"")</f>
        <v/>
      </c>
    </row>
    <row r="603" ht="20" customHeight="1">
      <c r="A603" s="18" t="n"/>
      <c r="B603" s="18" t="n"/>
      <c r="C603" s="18" t="n"/>
      <c r="D603" s="18" t="n"/>
      <c r="E603" s="18" t="n"/>
      <c r="F603" s="19" t="n"/>
      <c r="G603" s="18" t="n"/>
      <c r="H603">
        <f>IF(OR($E603="Raudt",$E603="Rødt",$E603="Raud",$E603="Rød"),3,IF($E603="Gult",2,IF(OR($E603="Grønt",$E603="Grøn",$E603="Grønn"),1,0)))</f>
        <v/>
      </c>
      <c r="I603">
        <f>IF(AND($C603&lt;&gt;"",$A603='Oversikt'!$C$4,$B603='Oversikt'!$C$5,$C603='Elevkort'!$C$4),MAX(I$1:I602)+1,"")</f>
        <v/>
      </c>
    </row>
    <row r="604" ht="20" customHeight="1">
      <c r="A604" s="18" t="n"/>
      <c r="B604" s="18" t="n"/>
      <c r="C604" s="18" t="n"/>
      <c r="D604" s="18" t="n"/>
      <c r="E604" s="18" t="n"/>
      <c r="F604" s="19" t="n"/>
      <c r="G604" s="18" t="n"/>
      <c r="H604">
        <f>IF(OR($E604="Raudt",$E604="Rødt",$E604="Raud",$E604="Rød"),3,IF($E604="Gult",2,IF(OR($E604="Grønt",$E604="Grøn",$E604="Grønn"),1,0)))</f>
        <v/>
      </c>
      <c r="I604">
        <f>IF(AND($C604&lt;&gt;"",$A604='Oversikt'!$C$4,$B604='Oversikt'!$C$5,$C604='Elevkort'!$C$4),MAX(I$1:I603)+1,"")</f>
        <v/>
      </c>
    </row>
    <row r="605" ht="20" customHeight="1">
      <c r="A605" s="18" t="n"/>
      <c r="B605" s="18" t="n"/>
      <c r="C605" s="18" t="n"/>
      <c r="D605" s="18" t="n"/>
      <c r="E605" s="18" t="n"/>
      <c r="F605" s="19" t="n"/>
      <c r="G605" s="18" t="n"/>
      <c r="H605">
        <f>IF(OR($E605="Raudt",$E605="Rødt",$E605="Raud",$E605="Rød"),3,IF($E605="Gult",2,IF(OR($E605="Grønt",$E605="Grøn",$E605="Grønn"),1,0)))</f>
        <v/>
      </c>
      <c r="I605">
        <f>IF(AND($C605&lt;&gt;"",$A605='Oversikt'!$C$4,$B605='Oversikt'!$C$5,$C605='Elevkort'!$C$4),MAX(I$1:I604)+1,"")</f>
        <v/>
      </c>
    </row>
    <row r="606" ht="20" customHeight="1">
      <c r="A606" s="18" t="n"/>
      <c r="B606" s="18" t="n"/>
      <c r="C606" s="18" t="n"/>
      <c r="D606" s="18" t="n"/>
      <c r="E606" s="18" t="n"/>
      <c r="F606" s="19" t="n"/>
      <c r="G606" s="18" t="n"/>
      <c r="H606">
        <f>IF(OR($E606="Raudt",$E606="Rødt",$E606="Raud",$E606="Rød"),3,IF($E606="Gult",2,IF(OR($E606="Grønt",$E606="Grøn",$E606="Grønn"),1,0)))</f>
        <v/>
      </c>
      <c r="I606">
        <f>IF(AND($C606&lt;&gt;"",$A606='Oversikt'!$C$4,$B606='Oversikt'!$C$5,$C606='Elevkort'!$C$4),MAX(I$1:I605)+1,"")</f>
        <v/>
      </c>
    </row>
    <row r="607" ht="20" customHeight="1">
      <c r="A607" s="18" t="n"/>
      <c r="B607" s="18" t="n"/>
      <c r="C607" s="18" t="n"/>
      <c r="D607" s="18" t="n"/>
      <c r="E607" s="18" t="n"/>
      <c r="F607" s="19" t="n"/>
      <c r="G607" s="18" t="n"/>
      <c r="H607">
        <f>IF(OR($E607="Raudt",$E607="Rødt",$E607="Raud",$E607="Rød"),3,IF($E607="Gult",2,IF(OR($E607="Grønt",$E607="Grøn",$E607="Grønn"),1,0)))</f>
        <v/>
      </c>
      <c r="I607">
        <f>IF(AND($C607&lt;&gt;"",$A607='Oversikt'!$C$4,$B607='Oversikt'!$C$5,$C607='Elevkort'!$C$4),MAX(I$1:I606)+1,"")</f>
        <v/>
      </c>
    </row>
    <row r="608" ht="20" customHeight="1">
      <c r="A608" s="18" t="n"/>
      <c r="B608" s="18" t="n"/>
      <c r="C608" s="18" t="n"/>
      <c r="D608" s="18" t="n"/>
      <c r="E608" s="18" t="n"/>
      <c r="F608" s="19" t="n"/>
      <c r="G608" s="18" t="n"/>
      <c r="H608">
        <f>IF(OR($E608="Raudt",$E608="Rødt",$E608="Raud",$E608="Rød"),3,IF($E608="Gult",2,IF(OR($E608="Grønt",$E608="Grøn",$E608="Grønn"),1,0)))</f>
        <v/>
      </c>
      <c r="I608">
        <f>IF(AND($C608&lt;&gt;"",$A608='Oversikt'!$C$4,$B608='Oversikt'!$C$5,$C608='Elevkort'!$C$4),MAX(I$1:I607)+1,"")</f>
        <v/>
      </c>
    </row>
    <row r="609" ht="20" customHeight="1">
      <c r="A609" s="18" t="n"/>
      <c r="B609" s="18" t="n"/>
      <c r="C609" s="18" t="n"/>
      <c r="D609" s="18" t="n"/>
      <c r="E609" s="18" t="n"/>
      <c r="F609" s="19" t="n"/>
      <c r="G609" s="18" t="n"/>
      <c r="H609">
        <f>IF(OR($E609="Raudt",$E609="Rødt",$E609="Raud",$E609="Rød"),3,IF($E609="Gult",2,IF(OR($E609="Grønt",$E609="Grøn",$E609="Grønn"),1,0)))</f>
        <v/>
      </c>
      <c r="I609">
        <f>IF(AND($C609&lt;&gt;"",$A609='Oversikt'!$C$4,$B609='Oversikt'!$C$5,$C609='Elevkort'!$C$4),MAX(I$1:I608)+1,"")</f>
        <v/>
      </c>
    </row>
    <row r="610" ht="20" customHeight="1">
      <c r="A610" s="18" t="n"/>
      <c r="B610" s="18" t="n"/>
      <c r="C610" s="18" t="n"/>
      <c r="D610" s="18" t="n"/>
      <c r="E610" s="18" t="n"/>
      <c r="F610" s="19" t="n"/>
      <c r="G610" s="18" t="n"/>
      <c r="H610">
        <f>IF(OR($E610="Raudt",$E610="Rødt",$E610="Raud",$E610="Rød"),3,IF($E610="Gult",2,IF(OR($E610="Grønt",$E610="Grøn",$E610="Grønn"),1,0)))</f>
        <v/>
      </c>
      <c r="I610">
        <f>IF(AND($C610&lt;&gt;"",$A610='Oversikt'!$C$4,$B610='Oversikt'!$C$5,$C610='Elevkort'!$C$4),MAX(I$1:I609)+1,"")</f>
        <v/>
      </c>
    </row>
    <row r="611" ht="20" customHeight="1">
      <c r="A611" s="18" t="n"/>
      <c r="B611" s="18" t="n"/>
      <c r="C611" s="18" t="n"/>
      <c r="D611" s="18" t="n"/>
      <c r="E611" s="18" t="n"/>
      <c r="F611" s="19" t="n"/>
      <c r="G611" s="18" t="n"/>
      <c r="H611">
        <f>IF(OR($E611="Raudt",$E611="Rødt",$E611="Raud",$E611="Rød"),3,IF($E611="Gult",2,IF(OR($E611="Grønt",$E611="Grøn",$E611="Grønn"),1,0)))</f>
        <v/>
      </c>
      <c r="I611">
        <f>IF(AND($C611&lt;&gt;"",$A611='Oversikt'!$C$4,$B611='Oversikt'!$C$5,$C611='Elevkort'!$C$4),MAX(I$1:I610)+1,"")</f>
        <v/>
      </c>
    </row>
    <row r="612" ht="20" customHeight="1">
      <c r="A612" s="18" t="n"/>
      <c r="B612" s="18" t="n"/>
      <c r="C612" s="18" t="n"/>
      <c r="D612" s="18" t="n"/>
      <c r="E612" s="18" t="n"/>
      <c r="F612" s="19" t="n"/>
      <c r="G612" s="18" t="n"/>
      <c r="H612">
        <f>IF(OR($E612="Raudt",$E612="Rødt",$E612="Raud",$E612="Rød"),3,IF($E612="Gult",2,IF(OR($E612="Grønt",$E612="Grøn",$E612="Grønn"),1,0)))</f>
        <v/>
      </c>
      <c r="I612">
        <f>IF(AND($C612&lt;&gt;"",$A612='Oversikt'!$C$4,$B612='Oversikt'!$C$5,$C612='Elevkort'!$C$4),MAX(I$1:I611)+1,"")</f>
        <v/>
      </c>
    </row>
    <row r="613" ht="20" customHeight="1">
      <c r="A613" s="18" t="n"/>
      <c r="B613" s="18" t="n"/>
      <c r="C613" s="18" t="n"/>
      <c r="D613" s="18" t="n"/>
      <c r="E613" s="18" t="n"/>
      <c r="F613" s="19" t="n"/>
      <c r="G613" s="18" t="n"/>
      <c r="H613">
        <f>IF(OR($E613="Raudt",$E613="Rødt",$E613="Raud",$E613="Rød"),3,IF($E613="Gult",2,IF(OR($E613="Grønt",$E613="Grøn",$E613="Grønn"),1,0)))</f>
        <v/>
      </c>
      <c r="I613">
        <f>IF(AND($C613&lt;&gt;"",$A613='Oversikt'!$C$4,$B613='Oversikt'!$C$5,$C613='Elevkort'!$C$4),MAX(I$1:I612)+1,"")</f>
        <v/>
      </c>
    </row>
    <row r="614" ht="20" customHeight="1">
      <c r="A614" s="18" t="n"/>
      <c r="B614" s="18" t="n"/>
      <c r="C614" s="18" t="n"/>
      <c r="D614" s="18" t="n"/>
      <c r="E614" s="18" t="n"/>
      <c r="F614" s="19" t="n"/>
      <c r="G614" s="18" t="n"/>
      <c r="H614">
        <f>IF(OR($E614="Raudt",$E614="Rødt",$E614="Raud",$E614="Rød"),3,IF($E614="Gult",2,IF(OR($E614="Grønt",$E614="Grøn",$E614="Grønn"),1,0)))</f>
        <v/>
      </c>
      <c r="I614">
        <f>IF(AND($C614&lt;&gt;"",$A614='Oversikt'!$C$4,$B614='Oversikt'!$C$5,$C614='Elevkort'!$C$4),MAX(I$1:I613)+1,"")</f>
        <v/>
      </c>
    </row>
    <row r="615" ht="20" customHeight="1">
      <c r="A615" s="18" t="n"/>
      <c r="B615" s="18" t="n"/>
      <c r="C615" s="18" t="n"/>
      <c r="D615" s="18" t="n"/>
      <c r="E615" s="18" t="n"/>
      <c r="F615" s="19" t="n"/>
      <c r="G615" s="18" t="n"/>
      <c r="H615">
        <f>IF(OR($E615="Raudt",$E615="Rødt",$E615="Raud",$E615="Rød"),3,IF($E615="Gult",2,IF(OR($E615="Grønt",$E615="Grøn",$E615="Grønn"),1,0)))</f>
        <v/>
      </c>
      <c r="I615">
        <f>IF(AND($C615&lt;&gt;"",$A615='Oversikt'!$C$4,$B615='Oversikt'!$C$5,$C615='Elevkort'!$C$4),MAX(I$1:I614)+1,"")</f>
        <v/>
      </c>
    </row>
    <row r="616" ht="20" customHeight="1">
      <c r="A616" s="18" t="n"/>
      <c r="B616" s="18" t="n"/>
      <c r="C616" s="18" t="n"/>
      <c r="D616" s="18" t="n"/>
      <c r="E616" s="18" t="n"/>
      <c r="F616" s="19" t="n"/>
      <c r="G616" s="18" t="n"/>
      <c r="H616">
        <f>IF(OR($E616="Raudt",$E616="Rødt",$E616="Raud",$E616="Rød"),3,IF($E616="Gult",2,IF(OR($E616="Grønt",$E616="Grøn",$E616="Grønn"),1,0)))</f>
        <v/>
      </c>
      <c r="I616">
        <f>IF(AND($C616&lt;&gt;"",$A616='Oversikt'!$C$4,$B616='Oversikt'!$C$5,$C616='Elevkort'!$C$4),MAX(I$1:I615)+1,"")</f>
        <v/>
      </c>
    </row>
    <row r="617" ht="20" customHeight="1">
      <c r="A617" s="18" t="n"/>
      <c r="B617" s="18" t="n"/>
      <c r="C617" s="18" t="n"/>
      <c r="D617" s="18" t="n"/>
      <c r="E617" s="18" t="n"/>
      <c r="F617" s="19" t="n"/>
      <c r="G617" s="18" t="n"/>
      <c r="H617">
        <f>IF(OR($E617="Raudt",$E617="Rødt",$E617="Raud",$E617="Rød"),3,IF($E617="Gult",2,IF(OR($E617="Grønt",$E617="Grøn",$E617="Grønn"),1,0)))</f>
        <v/>
      </c>
      <c r="I617">
        <f>IF(AND($C617&lt;&gt;"",$A617='Oversikt'!$C$4,$B617='Oversikt'!$C$5,$C617='Elevkort'!$C$4),MAX(I$1:I616)+1,"")</f>
        <v/>
      </c>
    </row>
    <row r="618" ht="20" customHeight="1">
      <c r="A618" s="18" t="n"/>
      <c r="B618" s="18" t="n"/>
      <c r="C618" s="18" t="n"/>
      <c r="D618" s="18" t="n"/>
      <c r="E618" s="18" t="n"/>
      <c r="F618" s="19" t="n"/>
      <c r="G618" s="18" t="n"/>
      <c r="H618">
        <f>IF(OR($E618="Raudt",$E618="Rødt",$E618="Raud",$E618="Rød"),3,IF($E618="Gult",2,IF(OR($E618="Grønt",$E618="Grøn",$E618="Grønn"),1,0)))</f>
        <v/>
      </c>
      <c r="I618">
        <f>IF(AND($C618&lt;&gt;"",$A618='Oversikt'!$C$4,$B618='Oversikt'!$C$5,$C618='Elevkort'!$C$4),MAX(I$1:I617)+1,"")</f>
        <v/>
      </c>
    </row>
    <row r="619" ht="20" customHeight="1">
      <c r="A619" s="18" t="n"/>
      <c r="B619" s="18" t="n"/>
      <c r="C619" s="18" t="n"/>
      <c r="D619" s="18" t="n"/>
      <c r="E619" s="18" t="n"/>
      <c r="F619" s="19" t="n"/>
      <c r="G619" s="18" t="n"/>
      <c r="H619">
        <f>IF(OR($E619="Raudt",$E619="Rødt",$E619="Raud",$E619="Rød"),3,IF($E619="Gult",2,IF(OR($E619="Grønt",$E619="Grøn",$E619="Grønn"),1,0)))</f>
        <v/>
      </c>
      <c r="I619">
        <f>IF(AND($C619&lt;&gt;"",$A619='Oversikt'!$C$4,$B619='Oversikt'!$C$5,$C619='Elevkort'!$C$4),MAX(I$1:I618)+1,"")</f>
        <v/>
      </c>
    </row>
    <row r="620" ht="20" customHeight="1">
      <c r="A620" s="18" t="n"/>
      <c r="B620" s="18" t="n"/>
      <c r="C620" s="18" t="n"/>
      <c r="D620" s="18" t="n"/>
      <c r="E620" s="18" t="n"/>
      <c r="F620" s="19" t="n"/>
      <c r="G620" s="18" t="n"/>
      <c r="H620">
        <f>IF(OR($E620="Raudt",$E620="Rødt",$E620="Raud",$E620="Rød"),3,IF($E620="Gult",2,IF(OR($E620="Grønt",$E620="Grøn",$E620="Grønn"),1,0)))</f>
        <v/>
      </c>
      <c r="I620">
        <f>IF(AND($C620&lt;&gt;"",$A620='Oversikt'!$C$4,$B620='Oversikt'!$C$5,$C620='Elevkort'!$C$4),MAX(I$1:I619)+1,"")</f>
        <v/>
      </c>
    </row>
    <row r="621" ht="20" customHeight="1">
      <c r="A621" s="18" t="n"/>
      <c r="B621" s="18" t="n"/>
      <c r="C621" s="18" t="n"/>
      <c r="D621" s="18" t="n"/>
      <c r="E621" s="18" t="n"/>
      <c r="F621" s="19" t="n"/>
      <c r="G621" s="18" t="n"/>
      <c r="H621">
        <f>IF(OR($E621="Raudt",$E621="Rødt",$E621="Raud",$E621="Rød"),3,IF($E621="Gult",2,IF(OR($E621="Grønt",$E621="Grøn",$E621="Grønn"),1,0)))</f>
        <v/>
      </c>
      <c r="I621">
        <f>IF(AND($C621&lt;&gt;"",$A621='Oversikt'!$C$4,$B621='Oversikt'!$C$5,$C621='Elevkort'!$C$4),MAX(I$1:I620)+1,"")</f>
        <v/>
      </c>
    </row>
    <row r="622" ht="20" customHeight="1">
      <c r="A622" s="18" t="n"/>
      <c r="B622" s="18" t="n"/>
      <c r="C622" s="18" t="n"/>
      <c r="D622" s="18" t="n"/>
      <c r="E622" s="18" t="n"/>
      <c r="F622" s="19" t="n"/>
      <c r="G622" s="18" t="n"/>
      <c r="H622">
        <f>IF(OR($E622="Raudt",$E622="Rødt",$E622="Raud",$E622="Rød"),3,IF($E622="Gult",2,IF(OR($E622="Grønt",$E622="Grøn",$E622="Grønn"),1,0)))</f>
        <v/>
      </c>
      <c r="I622">
        <f>IF(AND($C622&lt;&gt;"",$A622='Oversikt'!$C$4,$B622='Oversikt'!$C$5,$C622='Elevkort'!$C$4),MAX(I$1:I621)+1,"")</f>
        <v/>
      </c>
    </row>
    <row r="623" ht="20" customHeight="1">
      <c r="A623" s="18" t="n"/>
      <c r="B623" s="18" t="n"/>
      <c r="C623" s="18" t="n"/>
      <c r="D623" s="18" t="n"/>
      <c r="E623" s="18" t="n"/>
      <c r="F623" s="19" t="n"/>
      <c r="G623" s="18" t="n"/>
      <c r="H623">
        <f>IF(OR($E623="Raudt",$E623="Rødt",$E623="Raud",$E623="Rød"),3,IF($E623="Gult",2,IF(OR($E623="Grønt",$E623="Grøn",$E623="Grønn"),1,0)))</f>
        <v/>
      </c>
      <c r="I623">
        <f>IF(AND($C623&lt;&gt;"",$A623='Oversikt'!$C$4,$B623='Oversikt'!$C$5,$C623='Elevkort'!$C$4),MAX(I$1:I622)+1,"")</f>
        <v/>
      </c>
    </row>
    <row r="624" ht="20" customHeight="1">
      <c r="A624" s="18" t="n"/>
      <c r="B624" s="18" t="n"/>
      <c r="C624" s="18" t="n"/>
      <c r="D624" s="18" t="n"/>
      <c r="E624" s="18" t="n"/>
      <c r="F624" s="19" t="n"/>
      <c r="G624" s="18" t="n"/>
      <c r="H624">
        <f>IF(OR($E624="Raudt",$E624="Rødt",$E624="Raud",$E624="Rød"),3,IF($E624="Gult",2,IF(OR($E624="Grønt",$E624="Grøn",$E624="Grønn"),1,0)))</f>
        <v/>
      </c>
      <c r="I624">
        <f>IF(AND($C624&lt;&gt;"",$A624='Oversikt'!$C$4,$B624='Oversikt'!$C$5,$C624='Elevkort'!$C$4),MAX(I$1:I623)+1,"")</f>
        <v/>
      </c>
    </row>
    <row r="625" ht="20" customHeight="1">
      <c r="A625" s="18" t="n"/>
      <c r="B625" s="18" t="n"/>
      <c r="C625" s="18" t="n"/>
      <c r="D625" s="18" t="n"/>
      <c r="E625" s="18" t="n"/>
      <c r="F625" s="19" t="n"/>
      <c r="G625" s="18" t="n"/>
      <c r="H625">
        <f>IF(OR($E625="Raudt",$E625="Rødt",$E625="Raud",$E625="Rød"),3,IF($E625="Gult",2,IF(OR($E625="Grønt",$E625="Grøn",$E625="Grønn"),1,0)))</f>
        <v/>
      </c>
      <c r="I625">
        <f>IF(AND($C625&lt;&gt;"",$A625='Oversikt'!$C$4,$B625='Oversikt'!$C$5,$C625='Elevkort'!$C$4),MAX(I$1:I624)+1,"")</f>
        <v/>
      </c>
    </row>
    <row r="626" ht="20" customHeight="1">
      <c r="A626" s="18" t="n"/>
      <c r="B626" s="18" t="n"/>
      <c r="C626" s="18" t="n"/>
      <c r="D626" s="18" t="n"/>
      <c r="E626" s="18" t="n"/>
      <c r="F626" s="19" t="n"/>
      <c r="G626" s="18" t="n"/>
      <c r="H626">
        <f>IF(OR($E626="Raudt",$E626="Rødt",$E626="Raud",$E626="Rød"),3,IF($E626="Gult",2,IF(OR($E626="Grønt",$E626="Grøn",$E626="Grønn"),1,0)))</f>
        <v/>
      </c>
      <c r="I626">
        <f>IF(AND($C626&lt;&gt;"",$A626='Oversikt'!$C$4,$B626='Oversikt'!$C$5,$C626='Elevkort'!$C$4),MAX(I$1:I625)+1,"")</f>
        <v/>
      </c>
    </row>
    <row r="627" ht="20" customHeight="1">
      <c r="A627" s="18" t="n"/>
      <c r="B627" s="18" t="n"/>
      <c r="C627" s="18" t="n"/>
      <c r="D627" s="18" t="n"/>
      <c r="E627" s="18" t="n"/>
      <c r="F627" s="19" t="n"/>
      <c r="G627" s="18" t="n"/>
      <c r="H627">
        <f>IF(OR($E627="Raudt",$E627="Rødt",$E627="Raud",$E627="Rød"),3,IF($E627="Gult",2,IF(OR($E627="Grønt",$E627="Grøn",$E627="Grønn"),1,0)))</f>
        <v/>
      </c>
      <c r="I627">
        <f>IF(AND($C627&lt;&gt;"",$A627='Oversikt'!$C$4,$B627='Oversikt'!$C$5,$C627='Elevkort'!$C$4),MAX(I$1:I626)+1,"")</f>
        <v/>
      </c>
    </row>
    <row r="628" ht="20" customHeight="1">
      <c r="A628" s="18" t="n"/>
      <c r="B628" s="18" t="n"/>
      <c r="C628" s="18" t="n"/>
      <c r="D628" s="18" t="n"/>
      <c r="E628" s="18" t="n"/>
      <c r="F628" s="19" t="n"/>
      <c r="G628" s="18" t="n"/>
      <c r="H628">
        <f>IF(OR($E628="Raudt",$E628="Rødt",$E628="Raud",$E628="Rød"),3,IF($E628="Gult",2,IF(OR($E628="Grønt",$E628="Grøn",$E628="Grønn"),1,0)))</f>
        <v/>
      </c>
      <c r="I628">
        <f>IF(AND($C628&lt;&gt;"",$A628='Oversikt'!$C$4,$B628='Oversikt'!$C$5,$C628='Elevkort'!$C$4),MAX(I$1:I627)+1,"")</f>
        <v/>
      </c>
    </row>
    <row r="629" ht="20" customHeight="1">
      <c r="A629" s="18" t="n"/>
      <c r="B629" s="18" t="n"/>
      <c r="C629" s="18" t="n"/>
      <c r="D629" s="18" t="n"/>
      <c r="E629" s="18" t="n"/>
      <c r="F629" s="19" t="n"/>
      <c r="G629" s="18" t="n"/>
      <c r="H629">
        <f>IF(OR($E629="Raudt",$E629="Rødt",$E629="Raud",$E629="Rød"),3,IF($E629="Gult",2,IF(OR($E629="Grønt",$E629="Grøn",$E629="Grønn"),1,0)))</f>
        <v/>
      </c>
      <c r="I629">
        <f>IF(AND($C629&lt;&gt;"",$A629='Oversikt'!$C$4,$B629='Oversikt'!$C$5,$C629='Elevkort'!$C$4),MAX(I$1:I628)+1,"")</f>
        <v/>
      </c>
    </row>
    <row r="630" ht="20" customHeight="1">
      <c r="A630" s="18" t="n"/>
      <c r="B630" s="18" t="n"/>
      <c r="C630" s="18" t="n"/>
      <c r="D630" s="18" t="n"/>
      <c r="E630" s="18" t="n"/>
      <c r="F630" s="19" t="n"/>
      <c r="G630" s="18" t="n"/>
      <c r="H630">
        <f>IF(OR($E630="Raudt",$E630="Rødt",$E630="Raud",$E630="Rød"),3,IF($E630="Gult",2,IF(OR($E630="Grønt",$E630="Grøn",$E630="Grønn"),1,0)))</f>
        <v/>
      </c>
      <c r="I630">
        <f>IF(AND($C630&lt;&gt;"",$A630='Oversikt'!$C$4,$B630='Oversikt'!$C$5,$C630='Elevkort'!$C$4),MAX(I$1:I629)+1,"")</f>
        <v/>
      </c>
    </row>
    <row r="631" ht="20" customHeight="1">
      <c r="A631" s="18" t="n"/>
      <c r="B631" s="18" t="n"/>
      <c r="C631" s="18" t="n"/>
      <c r="D631" s="18" t="n"/>
      <c r="E631" s="18" t="n"/>
      <c r="F631" s="19" t="n"/>
      <c r="G631" s="18" t="n"/>
      <c r="H631">
        <f>IF(OR($E631="Raudt",$E631="Rødt",$E631="Raud",$E631="Rød"),3,IF($E631="Gult",2,IF(OR($E631="Grønt",$E631="Grøn",$E631="Grønn"),1,0)))</f>
        <v/>
      </c>
      <c r="I631">
        <f>IF(AND($C631&lt;&gt;"",$A631='Oversikt'!$C$4,$B631='Oversikt'!$C$5,$C631='Elevkort'!$C$4),MAX(I$1:I630)+1,"")</f>
        <v/>
      </c>
    </row>
    <row r="632" ht="20" customHeight="1">
      <c r="A632" s="18" t="n"/>
      <c r="B632" s="18" t="n"/>
      <c r="C632" s="18" t="n"/>
      <c r="D632" s="18" t="n"/>
      <c r="E632" s="18" t="n"/>
      <c r="F632" s="19" t="n"/>
      <c r="G632" s="18" t="n"/>
      <c r="H632">
        <f>IF(OR($E632="Raudt",$E632="Rødt",$E632="Raud",$E632="Rød"),3,IF($E632="Gult",2,IF(OR($E632="Grønt",$E632="Grøn",$E632="Grønn"),1,0)))</f>
        <v/>
      </c>
      <c r="I632">
        <f>IF(AND($C632&lt;&gt;"",$A632='Oversikt'!$C$4,$B632='Oversikt'!$C$5,$C632='Elevkort'!$C$4),MAX(I$1:I631)+1,"")</f>
        <v/>
      </c>
    </row>
    <row r="633" ht="20" customHeight="1">
      <c r="A633" s="18" t="n"/>
      <c r="B633" s="18" t="n"/>
      <c r="C633" s="18" t="n"/>
      <c r="D633" s="18" t="n"/>
      <c r="E633" s="18" t="n"/>
      <c r="F633" s="19" t="n"/>
      <c r="G633" s="18" t="n"/>
      <c r="H633">
        <f>IF(OR($E633="Raudt",$E633="Rødt",$E633="Raud",$E633="Rød"),3,IF($E633="Gult",2,IF(OR($E633="Grønt",$E633="Grøn",$E633="Grønn"),1,0)))</f>
        <v/>
      </c>
      <c r="I633">
        <f>IF(AND($C633&lt;&gt;"",$A633='Oversikt'!$C$4,$B633='Oversikt'!$C$5,$C633='Elevkort'!$C$4),MAX(I$1:I632)+1,"")</f>
        <v/>
      </c>
    </row>
    <row r="634" ht="20" customHeight="1">
      <c r="A634" s="18" t="n"/>
      <c r="B634" s="18" t="n"/>
      <c r="C634" s="18" t="n"/>
      <c r="D634" s="18" t="n"/>
      <c r="E634" s="18" t="n"/>
      <c r="F634" s="19" t="n"/>
      <c r="G634" s="18" t="n"/>
      <c r="H634">
        <f>IF(OR($E634="Raudt",$E634="Rødt",$E634="Raud",$E634="Rød"),3,IF($E634="Gult",2,IF(OR($E634="Grønt",$E634="Grøn",$E634="Grønn"),1,0)))</f>
        <v/>
      </c>
      <c r="I634">
        <f>IF(AND($C634&lt;&gt;"",$A634='Oversikt'!$C$4,$B634='Oversikt'!$C$5,$C634='Elevkort'!$C$4),MAX(I$1:I633)+1,"")</f>
        <v/>
      </c>
    </row>
    <row r="635" ht="20" customHeight="1">
      <c r="A635" s="18" t="n"/>
      <c r="B635" s="18" t="n"/>
      <c r="C635" s="18" t="n"/>
      <c r="D635" s="18" t="n"/>
      <c r="E635" s="18" t="n"/>
      <c r="F635" s="19" t="n"/>
      <c r="G635" s="18" t="n"/>
      <c r="H635">
        <f>IF(OR($E635="Raudt",$E635="Rødt",$E635="Raud",$E635="Rød"),3,IF($E635="Gult",2,IF(OR($E635="Grønt",$E635="Grøn",$E635="Grønn"),1,0)))</f>
        <v/>
      </c>
      <c r="I635">
        <f>IF(AND($C635&lt;&gt;"",$A635='Oversikt'!$C$4,$B635='Oversikt'!$C$5,$C635='Elevkort'!$C$4),MAX(I$1:I634)+1,"")</f>
        <v/>
      </c>
    </row>
    <row r="636" ht="20" customHeight="1">
      <c r="A636" s="18" t="n"/>
      <c r="B636" s="18" t="n"/>
      <c r="C636" s="18" t="n"/>
      <c r="D636" s="18" t="n"/>
      <c r="E636" s="18" t="n"/>
      <c r="F636" s="19" t="n"/>
      <c r="G636" s="18" t="n"/>
      <c r="H636">
        <f>IF(OR($E636="Raudt",$E636="Rødt",$E636="Raud",$E636="Rød"),3,IF($E636="Gult",2,IF(OR($E636="Grønt",$E636="Grøn",$E636="Grønn"),1,0)))</f>
        <v/>
      </c>
      <c r="I636">
        <f>IF(AND($C636&lt;&gt;"",$A636='Oversikt'!$C$4,$B636='Oversikt'!$C$5,$C636='Elevkort'!$C$4),MAX(I$1:I635)+1,"")</f>
        <v/>
      </c>
    </row>
    <row r="637" ht="20" customHeight="1">
      <c r="A637" s="18" t="n"/>
      <c r="B637" s="18" t="n"/>
      <c r="C637" s="18" t="n"/>
      <c r="D637" s="18" t="n"/>
      <c r="E637" s="18" t="n"/>
      <c r="F637" s="19" t="n"/>
      <c r="G637" s="18" t="n"/>
      <c r="H637">
        <f>IF(OR($E637="Raudt",$E637="Rødt",$E637="Raud",$E637="Rød"),3,IF($E637="Gult",2,IF(OR($E637="Grønt",$E637="Grøn",$E637="Grønn"),1,0)))</f>
        <v/>
      </c>
      <c r="I637">
        <f>IF(AND($C637&lt;&gt;"",$A637='Oversikt'!$C$4,$B637='Oversikt'!$C$5,$C637='Elevkort'!$C$4),MAX(I$1:I636)+1,"")</f>
        <v/>
      </c>
    </row>
    <row r="638" ht="20" customHeight="1">
      <c r="A638" s="18" t="n"/>
      <c r="B638" s="18" t="n"/>
      <c r="C638" s="18" t="n"/>
      <c r="D638" s="18" t="n"/>
      <c r="E638" s="18" t="n"/>
      <c r="F638" s="19" t="n"/>
      <c r="G638" s="18" t="n"/>
      <c r="H638">
        <f>IF(OR($E638="Raudt",$E638="Rødt",$E638="Raud",$E638="Rød"),3,IF($E638="Gult",2,IF(OR($E638="Grønt",$E638="Grøn",$E638="Grønn"),1,0)))</f>
        <v/>
      </c>
      <c r="I638">
        <f>IF(AND($C638&lt;&gt;"",$A638='Oversikt'!$C$4,$B638='Oversikt'!$C$5,$C638='Elevkort'!$C$4),MAX(I$1:I637)+1,"")</f>
        <v/>
      </c>
    </row>
    <row r="639" ht="20" customHeight="1">
      <c r="A639" s="18" t="n"/>
      <c r="B639" s="18" t="n"/>
      <c r="C639" s="18" t="n"/>
      <c r="D639" s="18" t="n"/>
      <c r="E639" s="18" t="n"/>
      <c r="F639" s="19" t="n"/>
      <c r="G639" s="18" t="n"/>
      <c r="H639">
        <f>IF(OR($E639="Raudt",$E639="Rødt",$E639="Raud",$E639="Rød"),3,IF($E639="Gult",2,IF(OR($E639="Grønt",$E639="Grøn",$E639="Grønn"),1,0)))</f>
        <v/>
      </c>
      <c r="I639">
        <f>IF(AND($C639&lt;&gt;"",$A639='Oversikt'!$C$4,$B639='Oversikt'!$C$5,$C639='Elevkort'!$C$4),MAX(I$1:I638)+1,"")</f>
        <v/>
      </c>
    </row>
    <row r="640" ht="20" customHeight="1">
      <c r="A640" s="18" t="n"/>
      <c r="B640" s="18" t="n"/>
      <c r="C640" s="18" t="n"/>
      <c r="D640" s="18" t="n"/>
      <c r="E640" s="18" t="n"/>
      <c r="F640" s="19" t="n"/>
      <c r="G640" s="18" t="n"/>
      <c r="H640">
        <f>IF(OR($E640="Raudt",$E640="Rødt",$E640="Raud",$E640="Rød"),3,IF($E640="Gult",2,IF(OR($E640="Grønt",$E640="Grøn",$E640="Grønn"),1,0)))</f>
        <v/>
      </c>
      <c r="I640">
        <f>IF(AND($C640&lt;&gt;"",$A640='Oversikt'!$C$4,$B640='Oversikt'!$C$5,$C640='Elevkort'!$C$4),MAX(I$1:I639)+1,"")</f>
        <v/>
      </c>
    </row>
    <row r="641" ht="20" customHeight="1">
      <c r="A641" s="18" t="n"/>
      <c r="B641" s="18" t="n"/>
      <c r="C641" s="18" t="n"/>
      <c r="D641" s="18" t="n"/>
      <c r="E641" s="18" t="n"/>
      <c r="F641" s="19" t="n"/>
      <c r="G641" s="18" t="n"/>
      <c r="H641">
        <f>IF(OR($E641="Raudt",$E641="Rødt",$E641="Raud",$E641="Rød"),3,IF($E641="Gult",2,IF(OR($E641="Grønt",$E641="Grøn",$E641="Grønn"),1,0)))</f>
        <v/>
      </c>
      <c r="I641">
        <f>IF(AND($C641&lt;&gt;"",$A641='Oversikt'!$C$4,$B641='Oversikt'!$C$5,$C641='Elevkort'!$C$4),MAX(I$1:I640)+1,"")</f>
        <v/>
      </c>
    </row>
    <row r="642" ht="20" customHeight="1">
      <c r="A642" s="18" t="n"/>
      <c r="B642" s="18" t="n"/>
      <c r="C642" s="18" t="n"/>
      <c r="D642" s="18" t="n"/>
      <c r="E642" s="18" t="n"/>
      <c r="F642" s="19" t="n"/>
      <c r="G642" s="18" t="n"/>
      <c r="H642">
        <f>IF(OR($E642="Raudt",$E642="Rødt",$E642="Raud",$E642="Rød"),3,IF($E642="Gult",2,IF(OR($E642="Grønt",$E642="Grøn",$E642="Grønn"),1,0)))</f>
        <v/>
      </c>
      <c r="I642">
        <f>IF(AND($C642&lt;&gt;"",$A642='Oversikt'!$C$4,$B642='Oversikt'!$C$5,$C642='Elevkort'!$C$4),MAX(I$1:I641)+1,"")</f>
        <v/>
      </c>
    </row>
    <row r="643" ht="20" customHeight="1">
      <c r="A643" s="18" t="n"/>
      <c r="B643" s="18" t="n"/>
      <c r="C643" s="18" t="n"/>
      <c r="D643" s="18" t="n"/>
      <c r="E643" s="18" t="n"/>
      <c r="F643" s="19" t="n"/>
      <c r="G643" s="18" t="n"/>
      <c r="H643">
        <f>IF(OR($E643="Raudt",$E643="Rødt",$E643="Raud",$E643="Rød"),3,IF($E643="Gult",2,IF(OR($E643="Grønt",$E643="Grøn",$E643="Grønn"),1,0)))</f>
        <v/>
      </c>
      <c r="I643">
        <f>IF(AND($C643&lt;&gt;"",$A643='Oversikt'!$C$4,$B643='Oversikt'!$C$5,$C643='Elevkort'!$C$4),MAX(I$1:I642)+1,"")</f>
        <v/>
      </c>
    </row>
    <row r="644" ht="20" customHeight="1">
      <c r="A644" s="18" t="n"/>
      <c r="B644" s="18" t="n"/>
      <c r="C644" s="18" t="n"/>
      <c r="D644" s="18" t="n"/>
      <c r="E644" s="18" t="n"/>
      <c r="F644" s="19" t="n"/>
      <c r="G644" s="18" t="n"/>
      <c r="H644">
        <f>IF(OR($E644="Raudt",$E644="Rødt",$E644="Raud",$E644="Rød"),3,IF($E644="Gult",2,IF(OR($E644="Grønt",$E644="Grøn",$E644="Grønn"),1,0)))</f>
        <v/>
      </c>
      <c r="I644">
        <f>IF(AND($C644&lt;&gt;"",$A644='Oversikt'!$C$4,$B644='Oversikt'!$C$5,$C644='Elevkort'!$C$4),MAX(I$1:I643)+1,"")</f>
        <v/>
      </c>
    </row>
    <row r="645" ht="20" customHeight="1">
      <c r="A645" s="18" t="n"/>
      <c r="B645" s="18" t="n"/>
      <c r="C645" s="18" t="n"/>
      <c r="D645" s="18" t="n"/>
      <c r="E645" s="18" t="n"/>
      <c r="F645" s="19" t="n"/>
      <c r="G645" s="18" t="n"/>
      <c r="H645">
        <f>IF(OR($E645="Raudt",$E645="Rødt",$E645="Raud",$E645="Rød"),3,IF($E645="Gult",2,IF(OR($E645="Grønt",$E645="Grøn",$E645="Grønn"),1,0)))</f>
        <v/>
      </c>
      <c r="I645">
        <f>IF(AND($C645&lt;&gt;"",$A645='Oversikt'!$C$4,$B645='Oversikt'!$C$5,$C645='Elevkort'!$C$4),MAX(I$1:I644)+1,"")</f>
        <v/>
      </c>
    </row>
    <row r="646" ht="20" customHeight="1">
      <c r="A646" s="18" t="n"/>
      <c r="B646" s="18" t="n"/>
      <c r="C646" s="18" t="n"/>
      <c r="D646" s="18" t="n"/>
      <c r="E646" s="18" t="n"/>
      <c r="F646" s="19" t="n"/>
      <c r="G646" s="18" t="n"/>
      <c r="H646">
        <f>IF(OR($E646="Raudt",$E646="Rødt",$E646="Raud",$E646="Rød"),3,IF($E646="Gult",2,IF(OR($E646="Grønt",$E646="Grøn",$E646="Grønn"),1,0)))</f>
        <v/>
      </c>
      <c r="I646">
        <f>IF(AND($C646&lt;&gt;"",$A646='Oversikt'!$C$4,$B646='Oversikt'!$C$5,$C646='Elevkort'!$C$4),MAX(I$1:I645)+1,"")</f>
        <v/>
      </c>
    </row>
    <row r="647" ht="20" customHeight="1">
      <c r="A647" s="18" t="n"/>
      <c r="B647" s="18" t="n"/>
      <c r="C647" s="18" t="n"/>
      <c r="D647" s="18" t="n"/>
      <c r="E647" s="18" t="n"/>
      <c r="F647" s="19" t="n"/>
      <c r="G647" s="18" t="n"/>
      <c r="H647">
        <f>IF(OR($E647="Raudt",$E647="Rødt",$E647="Raud",$E647="Rød"),3,IF($E647="Gult",2,IF(OR($E647="Grønt",$E647="Grøn",$E647="Grønn"),1,0)))</f>
        <v/>
      </c>
      <c r="I647">
        <f>IF(AND($C647&lt;&gt;"",$A647='Oversikt'!$C$4,$B647='Oversikt'!$C$5,$C647='Elevkort'!$C$4),MAX(I$1:I646)+1,"")</f>
        <v/>
      </c>
    </row>
    <row r="648" ht="20" customHeight="1">
      <c r="A648" s="18" t="n"/>
      <c r="B648" s="18" t="n"/>
      <c r="C648" s="18" t="n"/>
      <c r="D648" s="18" t="n"/>
      <c r="E648" s="18" t="n"/>
      <c r="F648" s="19" t="n"/>
      <c r="G648" s="18" t="n"/>
      <c r="H648">
        <f>IF(OR($E648="Raudt",$E648="Rødt",$E648="Raud",$E648="Rød"),3,IF($E648="Gult",2,IF(OR($E648="Grønt",$E648="Grøn",$E648="Grønn"),1,0)))</f>
        <v/>
      </c>
      <c r="I648">
        <f>IF(AND($C648&lt;&gt;"",$A648='Oversikt'!$C$4,$B648='Oversikt'!$C$5,$C648='Elevkort'!$C$4),MAX(I$1:I647)+1,"")</f>
        <v/>
      </c>
    </row>
    <row r="649" ht="20" customHeight="1">
      <c r="A649" s="18" t="n"/>
      <c r="B649" s="18" t="n"/>
      <c r="C649" s="18" t="n"/>
      <c r="D649" s="18" t="n"/>
      <c r="E649" s="18" t="n"/>
      <c r="F649" s="19" t="n"/>
      <c r="G649" s="18" t="n"/>
      <c r="H649">
        <f>IF(OR($E649="Raudt",$E649="Rødt",$E649="Raud",$E649="Rød"),3,IF($E649="Gult",2,IF(OR($E649="Grønt",$E649="Grøn",$E649="Grønn"),1,0)))</f>
        <v/>
      </c>
      <c r="I649">
        <f>IF(AND($C649&lt;&gt;"",$A649='Oversikt'!$C$4,$B649='Oversikt'!$C$5,$C649='Elevkort'!$C$4),MAX(I$1:I648)+1,"")</f>
        <v/>
      </c>
    </row>
    <row r="650" ht="20" customHeight="1">
      <c r="A650" s="18" t="n"/>
      <c r="B650" s="18" t="n"/>
      <c r="C650" s="18" t="n"/>
      <c r="D650" s="18" t="n"/>
      <c r="E650" s="18" t="n"/>
      <c r="F650" s="19" t="n"/>
      <c r="G650" s="18" t="n"/>
      <c r="H650">
        <f>IF(OR($E650="Raudt",$E650="Rødt",$E650="Raud",$E650="Rød"),3,IF($E650="Gult",2,IF(OR($E650="Grønt",$E650="Grøn",$E650="Grønn"),1,0)))</f>
        <v/>
      </c>
      <c r="I650">
        <f>IF(AND($C650&lt;&gt;"",$A650='Oversikt'!$C$4,$B650='Oversikt'!$C$5,$C650='Elevkort'!$C$4),MAX(I$1:I649)+1,"")</f>
        <v/>
      </c>
    </row>
    <row r="651" ht="20" customHeight="1">
      <c r="A651" s="18" t="n"/>
      <c r="B651" s="18" t="n"/>
      <c r="C651" s="18" t="n"/>
      <c r="D651" s="18" t="n"/>
      <c r="E651" s="18" t="n"/>
      <c r="F651" s="19" t="n"/>
      <c r="G651" s="18" t="n"/>
      <c r="H651">
        <f>IF(OR($E651="Raudt",$E651="Rødt",$E651="Raud",$E651="Rød"),3,IF($E651="Gult",2,IF(OR($E651="Grønt",$E651="Grøn",$E651="Grønn"),1,0)))</f>
        <v/>
      </c>
      <c r="I651">
        <f>IF(AND($C651&lt;&gt;"",$A651='Oversikt'!$C$4,$B651='Oversikt'!$C$5,$C651='Elevkort'!$C$4),MAX(I$1:I650)+1,"")</f>
        <v/>
      </c>
    </row>
    <row r="652" ht="20" customHeight="1">
      <c r="A652" s="18" t="n"/>
      <c r="B652" s="18" t="n"/>
      <c r="C652" s="18" t="n"/>
      <c r="D652" s="18" t="n"/>
      <c r="E652" s="18" t="n"/>
      <c r="F652" s="19" t="n"/>
      <c r="G652" s="18" t="n"/>
      <c r="H652">
        <f>IF(OR($E652="Raudt",$E652="Rødt",$E652="Raud",$E652="Rød"),3,IF($E652="Gult",2,IF(OR($E652="Grønt",$E652="Grøn",$E652="Grønn"),1,0)))</f>
        <v/>
      </c>
      <c r="I652">
        <f>IF(AND($C652&lt;&gt;"",$A652='Oversikt'!$C$4,$B652='Oversikt'!$C$5,$C652='Elevkort'!$C$4),MAX(I$1:I651)+1,"")</f>
        <v/>
      </c>
    </row>
    <row r="653" ht="20" customHeight="1">
      <c r="A653" s="18" t="n"/>
      <c r="B653" s="18" t="n"/>
      <c r="C653" s="18" t="n"/>
      <c r="D653" s="18" t="n"/>
      <c r="E653" s="18" t="n"/>
      <c r="F653" s="19" t="n"/>
      <c r="G653" s="18" t="n"/>
      <c r="H653">
        <f>IF(OR($E653="Raudt",$E653="Rødt",$E653="Raud",$E653="Rød"),3,IF($E653="Gult",2,IF(OR($E653="Grønt",$E653="Grøn",$E653="Grønn"),1,0)))</f>
        <v/>
      </c>
      <c r="I653">
        <f>IF(AND($C653&lt;&gt;"",$A653='Oversikt'!$C$4,$B653='Oversikt'!$C$5,$C653='Elevkort'!$C$4),MAX(I$1:I652)+1,"")</f>
        <v/>
      </c>
    </row>
    <row r="654" ht="20" customHeight="1">
      <c r="A654" s="18" t="n"/>
      <c r="B654" s="18" t="n"/>
      <c r="C654" s="18" t="n"/>
      <c r="D654" s="18" t="n"/>
      <c r="E654" s="18" t="n"/>
      <c r="F654" s="19" t="n"/>
      <c r="G654" s="18" t="n"/>
      <c r="H654">
        <f>IF(OR($E654="Raudt",$E654="Rødt",$E654="Raud",$E654="Rød"),3,IF($E654="Gult",2,IF(OR($E654="Grønt",$E654="Grøn",$E654="Grønn"),1,0)))</f>
        <v/>
      </c>
      <c r="I654">
        <f>IF(AND($C654&lt;&gt;"",$A654='Oversikt'!$C$4,$B654='Oversikt'!$C$5,$C654='Elevkort'!$C$4),MAX(I$1:I653)+1,"")</f>
        <v/>
      </c>
    </row>
    <row r="655" ht="20" customHeight="1">
      <c r="A655" s="18" t="n"/>
      <c r="B655" s="18" t="n"/>
      <c r="C655" s="18" t="n"/>
      <c r="D655" s="18" t="n"/>
      <c r="E655" s="18" t="n"/>
      <c r="F655" s="19" t="n"/>
      <c r="G655" s="18" t="n"/>
      <c r="H655">
        <f>IF(OR($E655="Raudt",$E655="Rødt",$E655="Raud",$E655="Rød"),3,IF($E655="Gult",2,IF(OR($E655="Grønt",$E655="Grøn",$E655="Grønn"),1,0)))</f>
        <v/>
      </c>
      <c r="I655">
        <f>IF(AND($C655&lt;&gt;"",$A655='Oversikt'!$C$4,$B655='Oversikt'!$C$5,$C655='Elevkort'!$C$4),MAX(I$1:I654)+1,"")</f>
        <v/>
      </c>
    </row>
    <row r="656" ht="20" customHeight="1">
      <c r="A656" s="18" t="n"/>
      <c r="B656" s="18" t="n"/>
      <c r="C656" s="18" t="n"/>
      <c r="D656" s="18" t="n"/>
      <c r="E656" s="18" t="n"/>
      <c r="F656" s="19" t="n"/>
      <c r="G656" s="18" t="n"/>
      <c r="H656">
        <f>IF(OR($E656="Raudt",$E656="Rødt",$E656="Raud",$E656="Rød"),3,IF($E656="Gult",2,IF(OR($E656="Grønt",$E656="Grøn",$E656="Grønn"),1,0)))</f>
        <v/>
      </c>
      <c r="I656">
        <f>IF(AND($C656&lt;&gt;"",$A656='Oversikt'!$C$4,$B656='Oversikt'!$C$5,$C656='Elevkort'!$C$4),MAX(I$1:I655)+1,"")</f>
        <v/>
      </c>
    </row>
    <row r="657" ht="20" customHeight="1">
      <c r="A657" s="18" t="n"/>
      <c r="B657" s="18" t="n"/>
      <c r="C657" s="18" t="n"/>
      <c r="D657" s="18" t="n"/>
      <c r="E657" s="18" t="n"/>
      <c r="F657" s="19" t="n"/>
      <c r="G657" s="18" t="n"/>
      <c r="H657">
        <f>IF(OR($E657="Raudt",$E657="Rødt",$E657="Raud",$E657="Rød"),3,IF($E657="Gult",2,IF(OR($E657="Grønt",$E657="Grøn",$E657="Grønn"),1,0)))</f>
        <v/>
      </c>
      <c r="I657">
        <f>IF(AND($C657&lt;&gt;"",$A657='Oversikt'!$C$4,$B657='Oversikt'!$C$5,$C657='Elevkort'!$C$4),MAX(I$1:I656)+1,"")</f>
        <v/>
      </c>
    </row>
    <row r="658" ht="20" customHeight="1">
      <c r="A658" s="18" t="n"/>
      <c r="B658" s="18" t="n"/>
      <c r="C658" s="18" t="n"/>
      <c r="D658" s="18" t="n"/>
      <c r="E658" s="18" t="n"/>
      <c r="F658" s="19" t="n"/>
      <c r="G658" s="18" t="n"/>
      <c r="H658">
        <f>IF(OR($E658="Raudt",$E658="Rødt",$E658="Raud",$E658="Rød"),3,IF($E658="Gult",2,IF(OR($E658="Grønt",$E658="Grøn",$E658="Grønn"),1,0)))</f>
        <v/>
      </c>
      <c r="I658">
        <f>IF(AND($C658&lt;&gt;"",$A658='Oversikt'!$C$4,$B658='Oversikt'!$C$5,$C658='Elevkort'!$C$4),MAX(I$1:I657)+1,"")</f>
        <v/>
      </c>
    </row>
    <row r="659" ht="20" customHeight="1">
      <c r="A659" s="18" t="n"/>
      <c r="B659" s="18" t="n"/>
      <c r="C659" s="18" t="n"/>
      <c r="D659" s="18" t="n"/>
      <c r="E659" s="18" t="n"/>
      <c r="F659" s="19" t="n"/>
      <c r="G659" s="18" t="n"/>
      <c r="H659">
        <f>IF(OR($E659="Raudt",$E659="Rødt",$E659="Raud",$E659="Rød"),3,IF($E659="Gult",2,IF(OR($E659="Grønt",$E659="Grøn",$E659="Grønn"),1,0)))</f>
        <v/>
      </c>
      <c r="I659">
        <f>IF(AND($C659&lt;&gt;"",$A659='Oversikt'!$C$4,$B659='Oversikt'!$C$5,$C659='Elevkort'!$C$4),MAX(I$1:I658)+1,"")</f>
        <v/>
      </c>
    </row>
    <row r="660" ht="20" customHeight="1">
      <c r="A660" s="18" t="n"/>
      <c r="B660" s="18" t="n"/>
      <c r="C660" s="18" t="n"/>
      <c r="D660" s="18" t="n"/>
      <c r="E660" s="18" t="n"/>
      <c r="F660" s="19" t="n"/>
      <c r="G660" s="18" t="n"/>
      <c r="H660">
        <f>IF(OR($E660="Raudt",$E660="Rødt",$E660="Raud",$E660="Rød"),3,IF($E660="Gult",2,IF(OR($E660="Grønt",$E660="Grøn",$E660="Grønn"),1,0)))</f>
        <v/>
      </c>
      <c r="I660">
        <f>IF(AND($C660&lt;&gt;"",$A660='Oversikt'!$C$4,$B660='Oversikt'!$C$5,$C660='Elevkort'!$C$4),MAX(I$1:I659)+1,"")</f>
        <v/>
      </c>
    </row>
    <row r="661" ht="20" customHeight="1">
      <c r="A661" s="18" t="n"/>
      <c r="B661" s="18" t="n"/>
      <c r="C661" s="18" t="n"/>
      <c r="D661" s="18" t="n"/>
      <c r="E661" s="18" t="n"/>
      <c r="F661" s="19" t="n"/>
      <c r="G661" s="18" t="n"/>
      <c r="H661">
        <f>IF(OR($E661="Raudt",$E661="Rødt",$E661="Raud",$E661="Rød"),3,IF($E661="Gult",2,IF(OR($E661="Grønt",$E661="Grøn",$E661="Grønn"),1,0)))</f>
        <v/>
      </c>
      <c r="I661">
        <f>IF(AND($C661&lt;&gt;"",$A661='Oversikt'!$C$4,$B661='Oversikt'!$C$5,$C661='Elevkort'!$C$4),MAX(I$1:I660)+1,"")</f>
        <v/>
      </c>
    </row>
    <row r="662" ht="20" customHeight="1">
      <c r="A662" s="18" t="n"/>
      <c r="B662" s="18" t="n"/>
      <c r="C662" s="18" t="n"/>
      <c r="D662" s="18" t="n"/>
      <c r="E662" s="18" t="n"/>
      <c r="F662" s="19" t="n"/>
      <c r="G662" s="18" t="n"/>
      <c r="H662">
        <f>IF(OR($E662="Raudt",$E662="Rødt",$E662="Raud",$E662="Rød"),3,IF($E662="Gult",2,IF(OR($E662="Grønt",$E662="Grøn",$E662="Grønn"),1,0)))</f>
        <v/>
      </c>
      <c r="I662">
        <f>IF(AND($C662&lt;&gt;"",$A662='Oversikt'!$C$4,$B662='Oversikt'!$C$5,$C662='Elevkort'!$C$4),MAX(I$1:I661)+1,"")</f>
        <v/>
      </c>
    </row>
    <row r="663" ht="20" customHeight="1">
      <c r="A663" s="18" t="n"/>
      <c r="B663" s="18" t="n"/>
      <c r="C663" s="18" t="n"/>
      <c r="D663" s="18" t="n"/>
      <c r="E663" s="18" t="n"/>
      <c r="F663" s="19" t="n"/>
      <c r="G663" s="18" t="n"/>
      <c r="H663">
        <f>IF(OR($E663="Raudt",$E663="Rødt",$E663="Raud",$E663="Rød"),3,IF($E663="Gult",2,IF(OR($E663="Grønt",$E663="Grøn",$E663="Grønn"),1,0)))</f>
        <v/>
      </c>
      <c r="I663">
        <f>IF(AND($C663&lt;&gt;"",$A663='Oversikt'!$C$4,$B663='Oversikt'!$C$5,$C663='Elevkort'!$C$4),MAX(I$1:I662)+1,"")</f>
        <v/>
      </c>
    </row>
    <row r="664" ht="20" customHeight="1">
      <c r="A664" s="18" t="n"/>
      <c r="B664" s="18" t="n"/>
      <c r="C664" s="18" t="n"/>
      <c r="D664" s="18" t="n"/>
      <c r="E664" s="18" t="n"/>
      <c r="F664" s="19" t="n"/>
      <c r="G664" s="18" t="n"/>
      <c r="H664">
        <f>IF(OR($E664="Raudt",$E664="Rødt",$E664="Raud",$E664="Rød"),3,IF($E664="Gult",2,IF(OR($E664="Grønt",$E664="Grøn",$E664="Grønn"),1,0)))</f>
        <v/>
      </c>
      <c r="I664">
        <f>IF(AND($C664&lt;&gt;"",$A664='Oversikt'!$C$4,$B664='Oversikt'!$C$5,$C664='Elevkort'!$C$4),MAX(I$1:I663)+1,"")</f>
        <v/>
      </c>
    </row>
    <row r="665" ht="20" customHeight="1">
      <c r="A665" s="18" t="n"/>
      <c r="B665" s="18" t="n"/>
      <c r="C665" s="18" t="n"/>
      <c r="D665" s="18" t="n"/>
      <c r="E665" s="18" t="n"/>
      <c r="F665" s="19" t="n"/>
      <c r="G665" s="18" t="n"/>
      <c r="H665">
        <f>IF(OR($E665="Raudt",$E665="Rødt",$E665="Raud",$E665="Rød"),3,IF($E665="Gult",2,IF(OR($E665="Grønt",$E665="Grøn",$E665="Grønn"),1,0)))</f>
        <v/>
      </c>
      <c r="I665">
        <f>IF(AND($C665&lt;&gt;"",$A665='Oversikt'!$C$4,$B665='Oversikt'!$C$5,$C665='Elevkort'!$C$4),MAX(I$1:I664)+1,"")</f>
        <v/>
      </c>
    </row>
    <row r="666" ht="20" customHeight="1">
      <c r="A666" s="18" t="n"/>
      <c r="B666" s="18" t="n"/>
      <c r="C666" s="18" t="n"/>
      <c r="D666" s="18" t="n"/>
      <c r="E666" s="18" t="n"/>
      <c r="F666" s="19" t="n"/>
      <c r="G666" s="18" t="n"/>
      <c r="H666">
        <f>IF(OR($E666="Raudt",$E666="Rødt",$E666="Raud",$E666="Rød"),3,IF($E666="Gult",2,IF(OR($E666="Grønt",$E666="Grøn",$E666="Grønn"),1,0)))</f>
        <v/>
      </c>
      <c r="I666">
        <f>IF(AND($C666&lt;&gt;"",$A666='Oversikt'!$C$4,$B666='Oversikt'!$C$5,$C666='Elevkort'!$C$4),MAX(I$1:I665)+1,"")</f>
        <v/>
      </c>
    </row>
    <row r="667" ht="20" customHeight="1">
      <c r="A667" s="18" t="n"/>
      <c r="B667" s="18" t="n"/>
      <c r="C667" s="18" t="n"/>
      <c r="D667" s="18" t="n"/>
      <c r="E667" s="18" t="n"/>
      <c r="F667" s="19" t="n"/>
      <c r="G667" s="18" t="n"/>
      <c r="H667">
        <f>IF(OR($E667="Raudt",$E667="Rødt",$E667="Raud",$E667="Rød"),3,IF($E667="Gult",2,IF(OR($E667="Grønt",$E667="Grøn",$E667="Grønn"),1,0)))</f>
        <v/>
      </c>
      <c r="I667">
        <f>IF(AND($C667&lt;&gt;"",$A667='Oversikt'!$C$4,$B667='Oversikt'!$C$5,$C667='Elevkort'!$C$4),MAX(I$1:I666)+1,"")</f>
        <v/>
      </c>
    </row>
    <row r="668" ht="20" customHeight="1">
      <c r="A668" s="18" t="n"/>
      <c r="B668" s="18" t="n"/>
      <c r="C668" s="18" t="n"/>
      <c r="D668" s="18" t="n"/>
      <c r="E668" s="18" t="n"/>
      <c r="F668" s="19" t="n"/>
      <c r="G668" s="18" t="n"/>
      <c r="H668">
        <f>IF(OR($E668="Raudt",$E668="Rødt",$E668="Raud",$E668="Rød"),3,IF($E668="Gult",2,IF(OR($E668="Grønt",$E668="Grøn",$E668="Grønn"),1,0)))</f>
        <v/>
      </c>
      <c r="I668">
        <f>IF(AND($C668&lt;&gt;"",$A668='Oversikt'!$C$4,$B668='Oversikt'!$C$5,$C668='Elevkort'!$C$4),MAX(I$1:I667)+1,"")</f>
        <v/>
      </c>
    </row>
    <row r="669" ht="20" customHeight="1">
      <c r="A669" s="18" t="n"/>
      <c r="B669" s="18" t="n"/>
      <c r="C669" s="18" t="n"/>
      <c r="D669" s="18" t="n"/>
      <c r="E669" s="18" t="n"/>
      <c r="F669" s="19" t="n"/>
      <c r="G669" s="18" t="n"/>
      <c r="H669">
        <f>IF(OR($E669="Raudt",$E669="Rødt",$E669="Raud",$E669="Rød"),3,IF($E669="Gult",2,IF(OR($E669="Grønt",$E669="Grøn",$E669="Grønn"),1,0)))</f>
        <v/>
      </c>
      <c r="I669">
        <f>IF(AND($C669&lt;&gt;"",$A669='Oversikt'!$C$4,$B669='Oversikt'!$C$5,$C669='Elevkort'!$C$4),MAX(I$1:I668)+1,"")</f>
        <v/>
      </c>
    </row>
    <row r="670" ht="20" customHeight="1">
      <c r="A670" s="18" t="n"/>
      <c r="B670" s="18" t="n"/>
      <c r="C670" s="18" t="n"/>
      <c r="D670" s="18" t="n"/>
      <c r="E670" s="18" t="n"/>
      <c r="F670" s="19" t="n"/>
      <c r="G670" s="18" t="n"/>
      <c r="H670">
        <f>IF(OR($E670="Raudt",$E670="Rødt",$E670="Raud",$E670="Rød"),3,IF($E670="Gult",2,IF(OR($E670="Grønt",$E670="Grøn",$E670="Grønn"),1,0)))</f>
        <v/>
      </c>
      <c r="I670">
        <f>IF(AND($C670&lt;&gt;"",$A670='Oversikt'!$C$4,$B670='Oversikt'!$C$5,$C670='Elevkort'!$C$4),MAX(I$1:I669)+1,"")</f>
        <v/>
      </c>
    </row>
    <row r="671" ht="20" customHeight="1">
      <c r="A671" s="18" t="n"/>
      <c r="B671" s="18" t="n"/>
      <c r="C671" s="18" t="n"/>
      <c r="D671" s="18" t="n"/>
      <c r="E671" s="18" t="n"/>
      <c r="F671" s="19" t="n"/>
      <c r="G671" s="18" t="n"/>
      <c r="H671">
        <f>IF(OR($E671="Raudt",$E671="Rødt",$E671="Raud",$E671="Rød"),3,IF($E671="Gult",2,IF(OR($E671="Grønt",$E671="Grøn",$E671="Grønn"),1,0)))</f>
        <v/>
      </c>
      <c r="I671">
        <f>IF(AND($C671&lt;&gt;"",$A671='Oversikt'!$C$4,$B671='Oversikt'!$C$5,$C671='Elevkort'!$C$4),MAX(I$1:I670)+1,"")</f>
        <v/>
      </c>
    </row>
    <row r="672" ht="20" customHeight="1">
      <c r="A672" s="18" t="n"/>
      <c r="B672" s="18" t="n"/>
      <c r="C672" s="18" t="n"/>
      <c r="D672" s="18" t="n"/>
      <c r="E672" s="18" t="n"/>
      <c r="F672" s="19" t="n"/>
      <c r="G672" s="18" t="n"/>
      <c r="H672">
        <f>IF(OR($E672="Raudt",$E672="Rødt",$E672="Raud",$E672="Rød"),3,IF($E672="Gult",2,IF(OR($E672="Grønt",$E672="Grøn",$E672="Grønn"),1,0)))</f>
        <v/>
      </c>
      <c r="I672">
        <f>IF(AND($C672&lt;&gt;"",$A672='Oversikt'!$C$4,$B672='Oversikt'!$C$5,$C672='Elevkort'!$C$4),MAX(I$1:I671)+1,"")</f>
        <v/>
      </c>
    </row>
    <row r="673" ht="20" customHeight="1">
      <c r="A673" s="18" t="n"/>
      <c r="B673" s="18" t="n"/>
      <c r="C673" s="18" t="n"/>
      <c r="D673" s="18" t="n"/>
      <c r="E673" s="18" t="n"/>
      <c r="F673" s="19" t="n"/>
      <c r="G673" s="18" t="n"/>
      <c r="H673">
        <f>IF(OR($E673="Raudt",$E673="Rødt",$E673="Raud",$E673="Rød"),3,IF($E673="Gult",2,IF(OR($E673="Grønt",$E673="Grøn",$E673="Grønn"),1,0)))</f>
        <v/>
      </c>
      <c r="I673">
        <f>IF(AND($C673&lt;&gt;"",$A673='Oversikt'!$C$4,$B673='Oversikt'!$C$5,$C673='Elevkort'!$C$4),MAX(I$1:I672)+1,"")</f>
        <v/>
      </c>
    </row>
    <row r="674" ht="20" customHeight="1">
      <c r="A674" s="18" t="n"/>
      <c r="B674" s="18" t="n"/>
      <c r="C674" s="18" t="n"/>
      <c r="D674" s="18" t="n"/>
      <c r="E674" s="18" t="n"/>
      <c r="F674" s="19" t="n"/>
      <c r="G674" s="18" t="n"/>
      <c r="H674">
        <f>IF(OR($E674="Raudt",$E674="Rødt",$E674="Raud",$E674="Rød"),3,IF($E674="Gult",2,IF(OR($E674="Grønt",$E674="Grøn",$E674="Grønn"),1,0)))</f>
        <v/>
      </c>
      <c r="I674">
        <f>IF(AND($C674&lt;&gt;"",$A674='Oversikt'!$C$4,$B674='Oversikt'!$C$5,$C674='Elevkort'!$C$4),MAX(I$1:I673)+1,"")</f>
        <v/>
      </c>
    </row>
    <row r="675" ht="20" customHeight="1">
      <c r="A675" s="18" t="n"/>
      <c r="B675" s="18" t="n"/>
      <c r="C675" s="18" t="n"/>
      <c r="D675" s="18" t="n"/>
      <c r="E675" s="18" t="n"/>
      <c r="F675" s="19" t="n"/>
      <c r="G675" s="18" t="n"/>
      <c r="H675">
        <f>IF(OR($E675="Raudt",$E675="Rødt",$E675="Raud",$E675="Rød"),3,IF($E675="Gult",2,IF(OR($E675="Grønt",$E675="Grøn",$E675="Grønn"),1,0)))</f>
        <v/>
      </c>
      <c r="I675">
        <f>IF(AND($C675&lt;&gt;"",$A675='Oversikt'!$C$4,$B675='Oversikt'!$C$5,$C675='Elevkort'!$C$4),MAX(I$1:I674)+1,"")</f>
        <v/>
      </c>
    </row>
    <row r="676" ht="20" customHeight="1">
      <c r="A676" s="18" t="n"/>
      <c r="B676" s="18" t="n"/>
      <c r="C676" s="18" t="n"/>
      <c r="D676" s="18" t="n"/>
      <c r="E676" s="18" t="n"/>
      <c r="F676" s="19" t="n"/>
      <c r="G676" s="18" t="n"/>
      <c r="H676">
        <f>IF(OR($E676="Raudt",$E676="Rødt",$E676="Raud",$E676="Rød"),3,IF($E676="Gult",2,IF(OR($E676="Grønt",$E676="Grøn",$E676="Grønn"),1,0)))</f>
        <v/>
      </c>
      <c r="I676">
        <f>IF(AND($C676&lt;&gt;"",$A676='Oversikt'!$C$4,$B676='Oversikt'!$C$5,$C676='Elevkort'!$C$4),MAX(I$1:I675)+1,"")</f>
        <v/>
      </c>
    </row>
    <row r="677" ht="20" customHeight="1">
      <c r="A677" s="18" t="n"/>
      <c r="B677" s="18" t="n"/>
      <c r="C677" s="18" t="n"/>
      <c r="D677" s="18" t="n"/>
      <c r="E677" s="18" t="n"/>
      <c r="F677" s="19" t="n"/>
      <c r="G677" s="18" t="n"/>
      <c r="H677">
        <f>IF(OR($E677="Raudt",$E677="Rødt",$E677="Raud",$E677="Rød"),3,IF($E677="Gult",2,IF(OR($E677="Grønt",$E677="Grøn",$E677="Grønn"),1,0)))</f>
        <v/>
      </c>
      <c r="I677">
        <f>IF(AND($C677&lt;&gt;"",$A677='Oversikt'!$C$4,$B677='Oversikt'!$C$5,$C677='Elevkort'!$C$4),MAX(I$1:I676)+1,"")</f>
        <v/>
      </c>
    </row>
    <row r="678" ht="20" customHeight="1">
      <c r="A678" s="18" t="n"/>
      <c r="B678" s="18" t="n"/>
      <c r="C678" s="18" t="n"/>
      <c r="D678" s="18" t="n"/>
      <c r="E678" s="18" t="n"/>
      <c r="F678" s="19" t="n"/>
      <c r="G678" s="18" t="n"/>
      <c r="H678">
        <f>IF(OR($E678="Raudt",$E678="Rødt",$E678="Raud",$E678="Rød"),3,IF($E678="Gult",2,IF(OR($E678="Grønt",$E678="Grøn",$E678="Grønn"),1,0)))</f>
        <v/>
      </c>
      <c r="I678">
        <f>IF(AND($C678&lt;&gt;"",$A678='Oversikt'!$C$4,$B678='Oversikt'!$C$5,$C678='Elevkort'!$C$4),MAX(I$1:I677)+1,"")</f>
        <v/>
      </c>
    </row>
    <row r="679" ht="20" customHeight="1">
      <c r="A679" s="18" t="n"/>
      <c r="B679" s="18" t="n"/>
      <c r="C679" s="18" t="n"/>
      <c r="D679" s="18" t="n"/>
      <c r="E679" s="18" t="n"/>
      <c r="F679" s="19" t="n"/>
      <c r="G679" s="18" t="n"/>
      <c r="H679">
        <f>IF(OR($E679="Raudt",$E679="Rødt",$E679="Raud",$E679="Rød"),3,IF($E679="Gult",2,IF(OR($E679="Grønt",$E679="Grøn",$E679="Grønn"),1,0)))</f>
        <v/>
      </c>
      <c r="I679">
        <f>IF(AND($C679&lt;&gt;"",$A679='Oversikt'!$C$4,$B679='Oversikt'!$C$5,$C679='Elevkort'!$C$4),MAX(I$1:I678)+1,"")</f>
        <v/>
      </c>
    </row>
    <row r="680" ht="20" customHeight="1">
      <c r="A680" s="18" t="n"/>
      <c r="B680" s="18" t="n"/>
      <c r="C680" s="18" t="n"/>
      <c r="D680" s="18" t="n"/>
      <c r="E680" s="18" t="n"/>
      <c r="F680" s="19" t="n"/>
      <c r="G680" s="18" t="n"/>
      <c r="H680">
        <f>IF(OR($E680="Raudt",$E680="Rødt",$E680="Raud",$E680="Rød"),3,IF($E680="Gult",2,IF(OR($E680="Grønt",$E680="Grøn",$E680="Grønn"),1,0)))</f>
        <v/>
      </c>
      <c r="I680">
        <f>IF(AND($C680&lt;&gt;"",$A680='Oversikt'!$C$4,$B680='Oversikt'!$C$5,$C680='Elevkort'!$C$4),MAX(I$1:I679)+1,"")</f>
        <v/>
      </c>
    </row>
    <row r="681" ht="20" customHeight="1">
      <c r="A681" s="18" t="n"/>
      <c r="B681" s="18" t="n"/>
      <c r="C681" s="18" t="n"/>
      <c r="D681" s="18" t="n"/>
      <c r="E681" s="18" t="n"/>
      <c r="F681" s="19" t="n"/>
      <c r="G681" s="18" t="n"/>
      <c r="H681">
        <f>IF(OR($E681="Raudt",$E681="Rødt",$E681="Raud",$E681="Rød"),3,IF($E681="Gult",2,IF(OR($E681="Grønt",$E681="Grøn",$E681="Grønn"),1,0)))</f>
        <v/>
      </c>
      <c r="I681">
        <f>IF(AND($C681&lt;&gt;"",$A681='Oversikt'!$C$4,$B681='Oversikt'!$C$5,$C681='Elevkort'!$C$4),MAX(I$1:I680)+1,"")</f>
        <v/>
      </c>
    </row>
    <row r="682" ht="20" customHeight="1">
      <c r="A682" s="18" t="n"/>
      <c r="B682" s="18" t="n"/>
      <c r="C682" s="18" t="n"/>
      <c r="D682" s="18" t="n"/>
      <c r="E682" s="18" t="n"/>
      <c r="F682" s="19" t="n"/>
      <c r="G682" s="18" t="n"/>
      <c r="H682">
        <f>IF(OR($E682="Raudt",$E682="Rødt",$E682="Raud",$E682="Rød"),3,IF($E682="Gult",2,IF(OR($E682="Grønt",$E682="Grøn",$E682="Grønn"),1,0)))</f>
        <v/>
      </c>
      <c r="I682">
        <f>IF(AND($C682&lt;&gt;"",$A682='Oversikt'!$C$4,$B682='Oversikt'!$C$5,$C682='Elevkort'!$C$4),MAX(I$1:I681)+1,"")</f>
        <v/>
      </c>
    </row>
    <row r="683" ht="20" customHeight="1">
      <c r="A683" s="18" t="n"/>
      <c r="B683" s="18" t="n"/>
      <c r="C683" s="18" t="n"/>
      <c r="D683" s="18" t="n"/>
      <c r="E683" s="18" t="n"/>
      <c r="F683" s="19" t="n"/>
      <c r="G683" s="18" t="n"/>
      <c r="H683">
        <f>IF(OR($E683="Raudt",$E683="Rødt",$E683="Raud",$E683="Rød"),3,IF($E683="Gult",2,IF(OR($E683="Grønt",$E683="Grøn",$E683="Grønn"),1,0)))</f>
        <v/>
      </c>
      <c r="I683">
        <f>IF(AND($C683&lt;&gt;"",$A683='Oversikt'!$C$4,$B683='Oversikt'!$C$5,$C683='Elevkort'!$C$4),MAX(I$1:I682)+1,"")</f>
        <v/>
      </c>
    </row>
    <row r="684" ht="20" customHeight="1">
      <c r="A684" s="18" t="n"/>
      <c r="B684" s="18" t="n"/>
      <c r="C684" s="18" t="n"/>
      <c r="D684" s="18" t="n"/>
      <c r="E684" s="18" t="n"/>
      <c r="F684" s="19" t="n"/>
      <c r="G684" s="18" t="n"/>
      <c r="H684">
        <f>IF(OR($E684="Raudt",$E684="Rødt",$E684="Raud",$E684="Rød"),3,IF($E684="Gult",2,IF(OR($E684="Grønt",$E684="Grøn",$E684="Grønn"),1,0)))</f>
        <v/>
      </c>
      <c r="I684">
        <f>IF(AND($C684&lt;&gt;"",$A684='Oversikt'!$C$4,$B684='Oversikt'!$C$5,$C684='Elevkort'!$C$4),MAX(I$1:I683)+1,"")</f>
        <v/>
      </c>
    </row>
    <row r="685" ht="20" customHeight="1">
      <c r="A685" s="18" t="n"/>
      <c r="B685" s="18" t="n"/>
      <c r="C685" s="18" t="n"/>
      <c r="D685" s="18" t="n"/>
      <c r="E685" s="18" t="n"/>
      <c r="F685" s="19" t="n"/>
      <c r="G685" s="18" t="n"/>
      <c r="H685">
        <f>IF(OR($E685="Raudt",$E685="Rødt",$E685="Raud",$E685="Rød"),3,IF($E685="Gult",2,IF(OR($E685="Grønt",$E685="Grøn",$E685="Grønn"),1,0)))</f>
        <v/>
      </c>
      <c r="I685">
        <f>IF(AND($C685&lt;&gt;"",$A685='Oversikt'!$C$4,$B685='Oversikt'!$C$5,$C685='Elevkort'!$C$4),MAX(I$1:I684)+1,"")</f>
        <v/>
      </c>
    </row>
    <row r="686" ht="20" customHeight="1">
      <c r="A686" s="18" t="n"/>
      <c r="B686" s="18" t="n"/>
      <c r="C686" s="18" t="n"/>
      <c r="D686" s="18" t="n"/>
      <c r="E686" s="18" t="n"/>
      <c r="F686" s="19" t="n"/>
      <c r="G686" s="18" t="n"/>
      <c r="H686">
        <f>IF(OR($E686="Raudt",$E686="Rødt",$E686="Raud",$E686="Rød"),3,IF($E686="Gult",2,IF(OR($E686="Grønt",$E686="Grøn",$E686="Grønn"),1,0)))</f>
        <v/>
      </c>
      <c r="I686">
        <f>IF(AND($C686&lt;&gt;"",$A686='Oversikt'!$C$4,$B686='Oversikt'!$C$5,$C686='Elevkort'!$C$4),MAX(I$1:I685)+1,"")</f>
        <v/>
      </c>
    </row>
    <row r="687" ht="20" customHeight="1">
      <c r="A687" s="18" t="n"/>
      <c r="B687" s="18" t="n"/>
      <c r="C687" s="18" t="n"/>
      <c r="D687" s="18" t="n"/>
      <c r="E687" s="18" t="n"/>
      <c r="F687" s="19" t="n"/>
      <c r="G687" s="18" t="n"/>
      <c r="H687">
        <f>IF(OR($E687="Raudt",$E687="Rødt",$E687="Raud",$E687="Rød"),3,IF($E687="Gult",2,IF(OR($E687="Grønt",$E687="Grøn",$E687="Grønn"),1,0)))</f>
        <v/>
      </c>
      <c r="I687">
        <f>IF(AND($C687&lt;&gt;"",$A687='Oversikt'!$C$4,$B687='Oversikt'!$C$5,$C687='Elevkort'!$C$4),MAX(I$1:I686)+1,"")</f>
        <v/>
      </c>
    </row>
    <row r="688" ht="20" customHeight="1">
      <c r="A688" s="18" t="n"/>
      <c r="B688" s="18" t="n"/>
      <c r="C688" s="18" t="n"/>
      <c r="D688" s="18" t="n"/>
      <c r="E688" s="18" t="n"/>
      <c r="F688" s="19" t="n"/>
      <c r="G688" s="18" t="n"/>
      <c r="H688">
        <f>IF(OR($E688="Raudt",$E688="Rødt",$E688="Raud",$E688="Rød"),3,IF($E688="Gult",2,IF(OR($E688="Grønt",$E688="Grøn",$E688="Grønn"),1,0)))</f>
        <v/>
      </c>
      <c r="I688">
        <f>IF(AND($C688&lt;&gt;"",$A688='Oversikt'!$C$4,$B688='Oversikt'!$C$5,$C688='Elevkort'!$C$4),MAX(I$1:I687)+1,"")</f>
        <v/>
      </c>
    </row>
    <row r="689" ht="20" customHeight="1">
      <c r="A689" s="18" t="n"/>
      <c r="B689" s="18" t="n"/>
      <c r="C689" s="18" t="n"/>
      <c r="D689" s="18" t="n"/>
      <c r="E689" s="18" t="n"/>
      <c r="F689" s="19" t="n"/>
      <c r="G689" s="18" t="n"/>
      <c r="H689">
        <f>IF(OR($E689="Raudt",$E689="Rødt",$E689="Raud",$E689="Rød"),3,IF($E689="Gult",2,IF(OR($E689="Grønt",$E689="Grøn",$E689="Grønn"),1,0)))</f>
        <v/>
      </c>
      <c r="I689">
        <f>IF(AND($C689&lt;&gt;"",$A689='Oversikt'!$C$4,$B689='Oversikt'!$C$5,$C689='Elevkort'!$C$4),MAX(I$1:I688)+1,"")</f>
        <v/>
      </c>
    </row>
    <row r="690" ht="20" customHeight="1">
      <c r="A690" s="18" t="n"/>
      <c r="B690" s="18" t="n"/>
      <c r="C690" s="18" t="n"/>
      <c r="D690" s="18" t="n"/>
      <c r="E690" s="18" t="n"/>
      <c r="F690" s="19" t="n"/>
      <c r="G690" s="18" t="n"/>
      <c r="H690">
        <f>IF(OR($E690="Raudt",$E690="Rødt",$E690="Raud",$E690="Rød"),3,IF($E690="Gult",2,IF(OR($E690="Grønt",$E690="Grøn",$E690="Grønn"),1,0)))</f>
        <v/>
      </c>
      <c r="I690">
        <f>IF(AND($C690&lt;&gt;"",$A690='Oversikt'!$C$4,$B690='Oversikt'!$C$5,$C690='Elevkort'!$C$4),MAX(I$1:I689)+1,"")</f>
        <v/>
      </c>
    </row>
    <row r="691" ht="20" customHeight="1">
      <c r="A691" s="18" t="n"/>
      <c r="B691" s="18" t="n"/>
      <c r="C691" s="18" t="n"/>
      <c r="D691" s="18" t="n"/>
      <c r="E691" s="18" t="n"/>
      <c r="F691" s="19" t="n"/>
      <c r="G691" s="18" t="n"/>
      <c r="H691">
        <f>IF(OR($E691="Raudt",$E691="Rødt",$E691="Raud",$E691="Rød"),3,IF($E691="Gult",2,IF(OR($E691="Grønt",$E691="Grøn",$E691="Grønn"),1,0)))</f>
        <v/>
      </c>
      <c r="I691">
        <f>IF(AND($C691&lt;&gt;"",$A691='Oversikt'!$C$4,$B691='Oversikt'!$C$5,$C691='Elevkort'!$C$4),MAX(I$1:I690)+1,"")</f>
        <v/>
      </c>
    </row>
    <row r="692" ht="20" customHeight="1">
      <c r="A692" s="18" t="n"/>
      <c r="B692" s="18" t="n"/>
      <c r="C692" s="18" t="n"/>
      <c r="D692" s="18" t="n"/>
      <c r="E692" s="18" t="n"/>
      <c r="F692" s="19" t="n"/>
      <c r="G692" s="18" t="n"/>
      <c r="H692">
        <f>IF(OR($E692="Raudt",$E692="Rødt",$E692="Raud",$E692="Rød"),3,IF($E692="Gult",2,IF(OR($E692="Grønt",$E692="Grøn",$E692="Grønn"),1,0)))</f>
        <v/>
      </c>
      <c r="I692">
        <f>IF(AND($C692&lt;&gt;"",$A692='Oversikt'!$C$4,$B692='Oversikt'!$C$5,$C692='Elevkort'!$C$4),MAX(I$1:I691)+1,"")</f>
        <v/>
      </c>
    </row>
    <row r="693" ht="20" customHeight="1">
      <c r="A693" s="18" t="n"/>
      <c r="B693" s="18" t="n"/>
      <c r="C693" s="18" t="n"/>
      <c r="D693" s="18" t="n"/>
      <c r="E693" s="18" t="n"/>
      <c r="F693" s="19" t="n"/>
      <c r="G693" s="18" t="n"/>
      <c r="H693">
        <f>IF(OR($E693="Raudt",$E693="Rødt",$E693="Raud",$E693="Rød"),3,IF($E693="Gult",2,IF(OR($E693="Grønt",$E693="Grøn",$E693="Grønn"),1,0)))</f>
        <v/>
      </c>
      <c r="I693">
        <f>IF(AND($C693&lt;&gt;"",$A693='Oversikt'!$C$4,$B693='Oversikt'!$C$5,$C693='Elevkort'!$C$4),MAX(I$1:I692)+1,"")</f>
        <v/>
      </c>
    </row>
    <row r="694" ht="20" customHeight="1">
      <c r="A694" s="18" t="n"/>
      <c r="B694" s="18" t="n"/>
      <c r="C694" s="18" t="n"/>
      <c r="D694" s="18" t="n"/>
      <c r="E694" s="18" t="n"/>
      <c r="F694" s="19" t="n"/>
      <c r="G694" s="18" t="n"/>
      <c r="H694">
        <f>IF(OR($E694="Raudt",$E694="Rødt",$E694="Raud",$E694="Rød"),3,IF($E694="Gult",2,IF(OR($E694="Grønt",$E694="Grøn",$E694="Grønn"),1,0)))</f>
        <v/>
      </c>
      <c r="I694">
        <f>IF(AND($C694&lt;&gt;"",$A694='Oversikt'!$C$4,$B694='Oversikt'!$C$5,$C694='Elevkort'!$C$4),MAX(I$1:I693)+1,"")</f>
        <v/>
      </c>
    </row>
    <row r="695" ht="20" customHeight="1">
      <c r="A695" s="18" t="n"/>
      <c r="B695" s="18" t="n"/>
      <c r="C695" s="18" t="n"/>
      <c r="D695" s="18" t="n"/>
      <c r="E695" s="18" t="n"/>
      <c r="F695" s="19" t="n"/>
      <c r="G695" s="18" t="n"/>
      <c r="H695">
        <f>IF(OR($E695="Raudt",$E695="Rødt",$E695="Raud",$E695="Rød"),3,IF($E695="Gult",2,IF(OR($E695="Grønt",$E695="Grøn",$E695="Grønn"),1,0)))</f>
        <v/>
      </c>
      <c r="I695">
        <f>IF(AND($C695&lt;&gt;"",$A695='Oversikt'!$C$4,$B695='Oversikt'!$C$5,$C695='Elevkort'!$C$4),MAX(I$1:I694)+1,"")</f>
        <v/>
      </c>
    </row>
    <row r="696" ht="20" customHeight="1">
      <c r="A696" s="18" t="n"/>
      <c r="B696" s="18" t="n"/>
      <c r="C696" s="18" t="n"/>
      <c r="D696" s="18" t="n"/>
      <c r="E696" s="18" t="n"/>
      <c r="F696" s="19" t="n"/>
      <c r="G696" s="18" t="n"/>
      <c r="H696">
        <f>IF(OR($E696="Raudt",$E696="Rødt",$E696="Raud",$E696="Rød"),3,IF($E696="Gult",2,IF(OR($E696="Grønt",$E696="Grøn",$E696="Grønn"),1,0)))</f>
        <v/>
      </c>
      <c r="I696">
        <f>IF(AND($C696&lt;&gt;"",$A696='Oversikt'!$C$4,$B696='Oversikt'!$C$5,$C696='Elevkort'!$C$4),MAX(I$1:I695)+1,"")</f>
        <v/>
      </c>
    </row>
    <row r="697" ht="20" customHeight="1">
      <c r="A697" s="18" t="n"/>
      <c r="B697" s="18" t="n"/>
      <c r="C697" s="18" t="n"/>
      <c r="D697" s="18" t="n"/>
      <c r="E697" s="18" t="n"/>
      <c r="F697" s="19" t="n"/>
      <c r="G697" s="18" t="n"/>
      <c r="H697">
        <f>IF(OR($E697="Raudt",$E697="Rødt",$E697="Raud",$E697="Rød"),3,IF($E697="Gult",2,IF(OR($E697="Grønt",$E697="Grøn",$E697="Grønn"),1,0)))</f>
        <v/>
      </c>
      <c r="I697">
        <f>IF(AND($C697&lt;&gt;"",$A697='Oversikt'!$C$4,$B697='Oversikt'!$C$5,$C697='Elevkort'!$C$4),MAX(I$1:I696)+1,"")</f>
        <v/>
      </c>
    </row>
    <row r="698" ht="20" customHeight="1">
      <c r="A698" s="18" t="n"/>
      <c r="B698" s="18" t="n"/>
      <c r="C698" s="18" t="n"/>
      <c r="D698" s="18" t="n"/>
      <c r="E698" s="18" t="n"/>
      <c r="F698" s="19" t="n"/>
      <c r="G698" s="18" t="n"/>
      <c r="H698">
        <f>IF(OR($E698="Raudt",$E698="Rødt",$E698="Raud",$E698="Rød"),3,IF($E698="Gult",2,IF(OR($E698="Grønt",$E698="Grøn",$E698="Grønn"),1,0)))</f>
        <v/>
      </c>
      <c r="I698">
        <f>IF(AND($C698&lt;&gt;"",$A698='Oversikt'!$C$4,$B698='Oversikt'!$C$5,$C698='Elevkort'!$C$4),MAX(I$1:I697)+1,"")</f>
        <v/>
      </c>
    </row>
    <row r="699" ht="20" customHeight="1">
      <c r="A699" s="18" t="n"/>
      <c r="B699" s="18" t="n"/>
      <c r="C699" s="18" t="n"/>
      <c r="D699" s="18" t="n"/>
      <c r="E699" s="18" t="n"/>
      <c r="F699" s="19" t="n"/>
      <c r="G699" s="18" t="n"/>
      <c r="H699">
        <f>IF(OR($E699="Raudt",$E699="Rødt",$E699="Raud",$E699="Rød"),3,IF($E699="Gult",2,IF(OR($E699="Grønt",$E699="Grøn",$E699="Grønn"),1,0)))</f>
        <v/>
      </c>
      <c r="I699">
        <f>IF(AND($C699&lt;&gt;"",$A699='Oversikt'!$C$4,$B699='Oversikt'!$C$5,$C699='Elevkort'!$C$4),MAX(I$1:I698)+1,"")</f>
        <v/>
      </c>
    </row>
    <row r="700" ht="20" customHeight="1">
      <c r="A700" s="18" t="n"/>
      <c r="B700" s="18" t="n"/>
      <c r="C700" s="18" t="n"/>
      <c r="D700" s="18" t="n"/>
      <c r="E700" s="18" t="n"/>
      <c r="F700" s="19" t="n"/>
      <c r="G700" s="18" t="n"/>
      <c r="H700">
        <f>IF(OR($E700="Raudt",$E700="Rødt",$E700="Raud",$E700="Rød"),3,IF($E700="Gult",2,IF(OR($E700="Grønt",$E700="Grøn",$E700="Grønn"),1,0)))</f>
        <v/>
      </c>
      <c r="I700">
        <f>IF(AND($C700&lt;&gt;"",$A700='Oversikt'!$C$4,$B700='Oversikt'!$C$5,$C700='Elevkort'!$C$4),MAX(I$1:I699)+1,"")</f>
        <v/>
      </c>
    </row>
    <row r="701" ht="20" customHeight="1">
      <c r="A701" s="18" t="n"/>
      <c r="B701" s="18" t="n"/>
      <c r="C701" s="18" t="n"/>
      <c r="D701" s="18" t="n"/>
      <c r="E701" s="18" t="n"/>
      <c r="F701" s="19" t="n"/>
      <c r="G701" s="18" t="n"/>
      <c r="H701">
        <f>IF(OR($E701="Raudt",$E701="Rødt",$E701="Raud",$E701="Rød"),3,IF($E701="Gult",2,IF(OR($E701="Grønt",$E701="Grøn",$E701="Grønn"),1,0)))</f>
        <v/>
      </c>
      <c r="I701">
        <f>IF(AND($C701&lt;&gt;"",$A701='Oversikt'!$C$4,$B701='Oversikt'!$C$5,$C701='Elevkort'!$C$4),MAX(I$1:I700)+1,"")</f>
        <v/>
      </c>
    </row>
  </sheetData>
  <autoFilter ref="A1:G701"/>
  <conditionalFormatting sqref="E2:E701">
    <cfRule type="expression" priority="1" dxfId="0" stopIfTrue="0">
      <formula>OR(EXACT($E2,"Grønt"))</formula>
    </cfRule>
    <cfRule type="expression" priority="3" dxfId="1" stopIfTrue="0">
      <formula>OR(EXACT($E2,"Gult"))</formula>
    </cfRule>
    <cfRule type="expression" priority="5" dxfId="2" stopIfTrue="0">
      <formula>OR(EXACT($E2,"Raudt"),EXACT($E2,"Rødt"))</formula>
    </cfRule>
  </conditionalFormatting>
  <conditionalFormatting sqref="A2:D701 F2:G701">
    <cfRule type="expression" priority="2" dxfId="3" stopIfTrue="0">
      <formula>OR(EXACT($E2,"Grønt"))</formula>
    </cfRule>
    <cfRule type="expression" priority="4" dxfId="4" stopIfTrue="0">
      <formula>OR(EXACT($E2,"Gult"))</formula>
    </cfRule>
    <cfRule type="expression" priority="6" dxfId="5" stopIfTrue="0">
      <formula>OR(EXACT($E2,"Raudt"),EXACT($E2,"Rødt"))</formula>
    </cfRule>
  </conditionalFormatting>
  <conditionalFormatting sqref="A2:G701">
    <cfRule type="expression" priority="7" dxfId="6">
      <formula>AND($B2&lt;&gt;"",$B2&lt;&gt;$B1)</formula>
    </cfRule>
    <cfRule type="expression" priority="8" dxfId="7">
      <formula>AND($A2&lt;&gt;"",$A2&lt;&gt;$A1)</formula>
    </cfRule>
  </conditionalFormatting>
  <dataValidations count="5">
    <dataValidation sqref="A2:A701" showDropDown="0" showInputMessage="1" showErrorMessage="0" allowBlank="1" promptTitle="Velg fra lista" prompt="Hvilket møte gjelder innmeldingen? Lista står i Oppsett." type="list">
      <formula1>Moter</formula1>
    </dataValidation>
    <dataValidation sqref="B2:B701" showDropDown="0" showInputMessage="1" showErrorMessage="0" allowBlank="1" promptTitle="Velg fra lista" prompt="Klassen eleven går i." type="list">
      <formula1>Klasser</formula1>
    </dataValidation>
    <dataValidation sqref="C2:C701" showDropDown="0" showInputMessage="1" showErrorMessage="0" allowBlank="1" promptTitle="Velg fra lista" prompt="Eleven. Lista viser elevene i klassen du valgte." type="list">
      <formula1>IFERROR(INDIRECT("ELEV_"&amp;SUBSTITUTE(SUBSTITUTE(SUBSTITUTE($B2,"/","_")," ","_"),"-","_")),VelKlasse)</formula1>
    </dataValidation>
    <dataValidation sqref="D2:D701" showDropDown="0" showInputMessage="1" showErrorMessage="0" allowBlank="1" promptTitle="Velg fra lista" prompt="Hva gjelder det? Områdene står i Oppsett." type="list">
      <formula1>Omrader</formula1>
    </dataValidation>
    <dataValidation sqref="E2:E701" showDropDown="0" showInputMessage="1" showErrorMessage="0" allowBlank="1" promptTitle="Velg fra lista" prompt="Grønt, gult eller rødt." type="list">
      <formula1>Lysliste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6" customWidth="1" min="3" max="3"/>
    <col width="24" customWidth="1" min="4" max="4"/>
    <col width="56" customWidth="1" min="5" max="5"/>
    <col width="22" customWidth="1" min="6" max="6"/>
    <col width="14" customWidth="1" min="7" max="7"/>
    <col width="18" customWidth="1" min="8" max="8"/>
    <col hidden="1" width="13" customWidth="1" min="9" max="9"/>
  </cols>
  <sheetData>
    <row r="1" ht="26" customHeight="1">
      <c r="A1" s="16" t="inlineStr">
        <is>
          <t>Møte</t>
        </is>
      </c>
      <c r="B1" s="16" t="inlineStr">
        <is>
          <t>Klasse</t>
        </is>
      </c>
      <c r="C1" s="16" t="inlineStr">
        <is>
          <t>Elev</t>
        </is>
      </c>
      <c r="D1" s="16" t="inlineStr">
        <is>
          <t>Område</t>
        </is>
      </c>
      <c r="E1" s="16" t="inlineStr">
        <is>
          <t>Tiltak</t>
        </is>
      </c>
      <c r="F1" s="16" t="inlineStr">
        <is>
          <t>Ansvarleg</t>
        </is>
      </c>
      <c r="G1" s="16" t="inlineStr">
        <is>
          <t>Frist</t>
        </is>
      </c>
      <c r="H1" s="16" t="inlineStr">
        <is>
          <t>Status</t>
        </is>
      </c>
      <c r="I1" t="inlineStr">
        <is>
          <t>Elevkort</t>
        </is>
      </c>
    </row>
    <row r="2" ht="20" customHeight="1">
      <c r="A2" s="18" t="inlineStr">
        <is>
          <t>1 · Haust</t>
        </is>
      </c>
      <c r="B2" s="18" t="inlineStr">
        <is>
          <t>1ID</t>
        </is>
      </c>
      <c r="C2" s="18" t="inlineStr">
        <is>
          <t>Brage Settem</t>
        </is>
      </c>
      <c r="D2" s="18" t="inlineStr">
        <is>
          <t>Frammøte</t>
        </is>
      </c>
      <c r="E2" s="19" t="inlineStr">
        <is>
          <t>Fast oppmøteavtale måndag morgon, kontaktlærar tek imot ved døra i fire veker.</t>
        </is>
      </c>
      <c r="F2" s="18" t="inlineStr">
        <is>
          <t>Kontaktlærar</t>
        </is>
      </c>
      <c r="G2" s="20" t="n">
        <v>46310</v>
      </c>
      <c r="H2" s="18" t="inlineStr">
        <is>
          <t>Avslutta</t>
        </is>
      </c>
      <c r="I2">
        <f>IF(AND($E2&lt;&gt;"",$B2='Oversikt'!$C$5,$C2='Elevkort'!$C$4),MAX(I$1:I1)+1,"")</f>
        <v/>
      </c>
    </row>
    <row r="3" ht="20" customHeight="1">
      <c r="A3" s="18" t="inlineStr">
        <is>
          <t>1 · Haust</t>
        </is>
      </c>
      <c r="B3" s="18" t="inlineStr">
        <is>
          <t>1ID</t>
        </is>
      </c>
      <c r="C3" s="18" t="inlineStr">
        <is>
          <t>Brage Settem</t>
        </is>
      </c>
      <c r="D3" s="18" t="inlineStr">
        <is>
          <t>Motivasjon</t>
        </is>
      </c>
      <c r="E3" s="19" t="inlineStr">
        <is>
          <t>Samtale med rådgivar om omval og om vegen mot læreplass.</t>
        </is>
      </c>
      <c r="F3" s="18" t="inlineStr">
        <is>
          <t>Rådgivar</t>
        </is>
      </c>
      <c r="G3" s="20" t="n">
        <v>46305</v>
      </c>
      <c r="H3" s="18" t="inlineStr">
        <is>
          <t>Avslutta</t>
        </is>
      </c>
      <c r="I3">
        <f>IF(AND($E3&lt;&gt;"",$B3='Oversikt'!$C$5,$C3='Elevkort'!$C$4),MAX(I$1:I2)+1,"")</f>
        <v/>
      </c>
    </row>
    <row r="4" ht="20" customHeight="1">
      <c r="A4" s="18" t="inlineStr">
        <is>
          <t>1 · Haust</t>
        </is>
      </c>
      <c r="B4" s="18" t="inlineStr">
        <is>
          <t>1ID</t>
        </is>
      </c>
      <c r="C4" s="18" t="inlineStr">
        <is>
          <t>Kaia Sylte</t>
        </is>
      </c>
      <c r="D4" s="18" t="inlineStr">
        <is>
          <t>Trivsel</t>
        </is>
      </c>
      <c r="E4" s="19" t="inlineStr">
        <is>
          <t>Kontakt med helsesjukepleiar. Kontaktlærar spør korleis det går kvar fredag.</t>
        </is>
      </c>
      <c r="F4" s="18" t="inlineStr">
        <is>
          <t>Kontaktlærar</t>
        </is>
      </c>
      <c r="G4" s="20" t="n">
        <v>46298</v>
      </c>
      <c r="H4" s="18" t="inlineStr">
        <is>
          <t>Blir følgd opp</t>
        </is>
      </c>
      <c r="I4">
        <f>IF(AND($E4&lt;&gt;"",$B4='Oversikt'!$C$5,$C4='Elevkort'!$C$4),MAX(I$1:I3)+1,"")</f>
        <v/>
      </c>
    </row>
    <row r="5" ht="20" customHeight="1">
      <c r="A5" s="18" t="inlineStr">
        <is>
          <t>1 · Haust</t>
        </is>
      </c>
      <c r="B5" s="18" t="inlineStr">
        <is>
          <t>1ID</t>
        </is>
      </c>
      <c r="C5" s="18" t="inlineStr">
        <is>
          <t>Eline Vevang</t>
        </is>
      </c>
      <c r="D5" s="18" t="inlineStr">
        <is>
          <t>Fagleg utvikling</t>
        </is>
      </c>
      <c r="E5" s="19" t="inlineStr">
        <is>
          <t>Utvida tid på prøver, og eit opplegg for rekning i studietida.</t>
        </is>
      </c>
      <c r="F5" s="18" t="inlineStr">
        <is>
          <t>Faglærar matematikk</t>
        </is>
      </c>
      <c r="G5" s="20" t="n">
        <v>46296</v>
      </c>
      <c r="H5" s="18" t="inlineStr">
        <is>
          <t>Avslutta</t>
        </is>
      </c>
      <c r="I5">
        <f>IF(AND($E5&lt;&gt;"",$B5='Oversikt'!$C$5,$C5='Elevkort'!$C$4),MAX(I$1:I4)+1,"")</f>
        <v/>
      </c>
    </row>
    <row r="6" ht="20" customHeight="1">
      <c r="A6" s="18" t="inlineStr">
        <is>
          <t>1 · Haust</t>
        </is>
      </c>
      <c r="B6" s="18" t="inlineStr">
        <is>
          <t>1ID</t>
        </is>
      </c>
      <c r="C6" s="18" t="inlineStr">
        <is>
          <t>Noah Silseth</t>
        </is>
      </c>
      <c r="D6" s="18" t="inlineStr">
        <is>
          <t>Fagleg utvikling</t>
        </is>
      </c>
      <c r="E6" s="19" t="inlineStr">
        <is>
          <t>Kartlegging av lesing, og lydbøker i norsk og samfunnsfag.</t>
        </is>
      </c>
      <c r="F6" s="18" t="inlineStr">
        <is>
          <t>Spesialpedagogisk team</t>
        </is>
      </c>
      <c r="G6" s="20" t="n">
        <v>46319</v>
      </c>
      <c r="H6" s="18" t="inlineStr">
        <is>
          <t>Avslutta</t>
        </is>
      </c>
      <c r="I6">
        <f>IF(AND($E6&lt;&gt;"",$B6='Oversikt'!$C$5,$C6='Elevkort'!$C$4),MAX(I$1:I5)+1,"")</f>
        <v/>
      </c>
    </row>
    <row r="7" ht="20" customHeight="1">
      <c r="A7" s="18" t="inlineStr">
        <is>
          <t>1 · Haust</t>
        </is>
      </c>
      <c r="B7" s="18" t="inlineStr">
        <is>
          <t>1HO</t>
        </is>
      </c>
      <c r="C7" s="18" t="inlineStr">
        <is>
          <t>Emil Solheim</t>
        </is>
      </c>
      <c r="D7" s="18" t="inlineStr">
        <is>
          <t>Frammøte</t>
        </is>
      </c>
      <c r="E7" s="19" t="inlineStr">
        <is>
          <t>Heimebesøk saman med rådgivar. Deretter ny plan for oppmøte.</t>
        </is>
      </c>
      <c r="F7" s="18" t="inlineStr">
        <is>
          <t>Rådgivar</t>
        </is>
      </c>
      <c r="G7" s="20" t="n">
        <v>46303</v>
      </c>
      <c r="H7" s="18" t="inlineStr">
        <is>
          <t>Vidareført</t>
        </is>
      </c>
      <c r="I7">
        <f>IF(AND($E7&lt;&gt;"",$B7='Oversikt'!$C$5,$C7='Elevkort'!$C$4),MAX(I$1:I6)+1,"")</f>
        <v/>
      </c>
    </row>
    <row r="8" ht="20" customHeight="1">
      <c r="A8" s="18" t="inlineStr">
        <is>
          <t>1 · Haust</t>
        </is>
      </c>
      <c r="B8" s="18" t="inlineStr">
        <is>
          <t>1HO</t>
        </is>
      </c>
      <c r="C8" s="18" t="inlineStr">
        <is>
          <t>Isak Nerland</t>
        </is>
      </c>
      <c r="D8" s="18" t="inlineStr">
        <is>
          <t>Arbeidsinnsats</t>
        </is>
      </c>
      <c r="E8" s="19" t="inlineStr">
        <is>
          <t>Telefonhotell i timane, og ei innlevering om gongen med kort frist.</t>
        </is>
      </c>
      <c r="F8" s="18" t="inlineStr">
        <is>
          <t>Faglærar</t>
        </is>
      </c>
      <c r="G8" s="20" t="n">
        <v>46312</v>
      </c>
      <c r="H8" s="18" t="inlineStr">
        <is>
          <t>Avslutta</t>
        </is>
      </c>
      <c r="I8">
        <f>IF(AND($E8&lt;&gt;"",$B8='Oversikt'!$C$5,$C8='Elevkort'!$C$4),MAX(I$1:I7)+1,"")</f>
        <v/>
      </c>
    </row>
    <row r="9" ht="20" customHeight="1">
      <c r="A9" s="18" t="inlineStr">
        <is>
          <t>1 · Haust</t>
        </is>
      </c>
      <c r="B9" s="18" t="inlineStr">
        <is>
          <t>1HO</t>
        </is>
      </c>
      <c r="C9" s="18" t="inlineStr">
        <is>
          <t>Selma Otterlei</t>
        </is>
      </c>
      <c r="D9" s="18" t="inlineStr">
        <is>
          <t>Praktiske forhold</t>
        </is>
      </c>
      <c r="E9" s="19" t="inlineStr">
        <is>
          <t>Søknad til utstyrsfondet for arbeidstøy.</t>
        </is>
      </c>
      <c r="F9" s="18" t="inlineStr">
        <is>
          <t>Kontaktlærar</t>
        </is>
      </c>
      <c r="G9" s="20" t="n">
        <v>46295</v>
      </c>
      <c r="H9" s="18" t="inlineStr">
        <is>
          <t>Avslutta</t>
        </is>
      </c>
      <c r="I9">
        <f>IF(AND($E9&lt;&gt;"",$B9='Oversikt'!$C$5,$C9='Elevkort'!$C$4),MAX(I$1:I8)+1,"")</f>
        <v/>
      </c>
    </row>
    <row r="10" ht="20" customHeight="1">
      <c r="A10" s="18" t="inlineStr">
        <is>
          <t>1 · Haust</t>
        </is>
      </c>
      <c r="B10" s="18" t="inlineStr">
        <is>
          <t>2AKV/FF</t>
        </is>
      </c>
      <c r="C10" s="18" t="inlineStr">
        <is>
          <t>Magnus Hasselø</t>
        </is>
      </c>
      <c r="D10" s="18" t="inlineStr">
        <is>
          <t>Fagleg utvikling</t>
        </is>
      </c>
      <c r="E10" s="19" t="inlineStr">
        <is>
          <t>Plan for å ta att manglande vurderingssituasjonar, ei per veke.</t>
        </is>
      </c>
      <c r="F10" s="18" t="inlineStr">
        <is>
          <t>Faglærar programfag</t>
        </is>
      </c>
      <c r="G10" s="20" t="n">
        <v>46346</v>
      </c>
      <c r="H10" s="18" t="inlineStr">
        <is>
          <t>Pågår</t>
        </is>
      </c>
      <c r="I10">
        <f>IF(AND($E10&lt;&gt;"",$B10='Oversikt'!$C$5,$C10='Elevkort'!$C$4),MAX(I$1:I9)+1,"")</f>
        <v/>
      </c>
    </row>
    <row r="11" ht="20" customHeight="1">
      <c r="A11" s="18" t="inlineStr">
        <is>
          <t>2 · Før jul</t>
        </is>
      </c>
      <c r="B11" s="18" t="inlineStr">
        <is>
          <t>1ID</t>
        </is>
      </c>
      <c r="C11" s="18" t="inlineStr">
        <is>
          <t>Mathea Gjendem</t>
        </is>
      </c>
      <c r="D11" s="18" t="inlineStr">
        <is>
          <t>Frammøte</t>
        </is>
      </c>
      <c r="E11" s="19" t="inlineStr">
        <is>
          <t>Samtale med eleven, deretter kontakt med føresette same veke.</t>
        </is>
      </c>
      <c r="F11" s="18" t="inlineStr">
        <is>
          <t>Kontaktlærar</t>
        </is>
      </c>
      <c r="G11" s="20" t="n">
        <v>46361</v>
      </c>
      <c r="H11" s="18" t="inlineStr">
        <is>
          <t>Ikkje starta</t>
        </is>
      </c>
      <c r="I11">
        <f>IF(AND($E11&lt;&gt;"",$B11='Oversikt'!$C$5,$C11='Elevkort'!$C$4),MAX(I$1:I10)+1,"")</f>
        <v/>
      </c>
    </row>
    <row r="12" ht="20" customHeight="1">
      <c r="A12" s="18" t="inlineStr">
        <is>
          <t>2 · Før jul</t>
        </is>
      </c>
      <c r="B12" s="18" t="inlineStr">
        <is>
          <t>1ID</t>
        </is>
      </c>
      <c r="C12" s="18" t="inlineStr">
        <is>
          <t>Kaia Sylte</t>
        </is>
      </c>
      <c r="D12" s="18" t="inlineStr">
        <is>
          <t>Trivsel</t>
        </is>
      </c>
      <c r="E12" s="19" t="inlineStr">
        <is>
          <t>Held fram med faste grupper i alle fag ut skuleåret.</t>
        </is>
      </c>
      <c r="F12" s="18" t="inlineStr">
        <is>
          <t>Alle faglærarar</t>
        </is>
      </c>
      <c r="G12" s="20" t="n">
        <v>46402</v>
      </c>
      <c r="H12" s="18" t="inlineStr">
        <is>
          <t>Pågår</t>
        </is>
      </c>
      <c r="I12">
        <f>IF(AND($E12&lt;&gt;"",$B12='Oversikt'!$C$5,$C12='Elevkort'!$C$4),MAX(I$1:I11)+1,"")</f>
        <v/>
      </c>
    </row>
    <row r="13" ht="20" customHeight="1">
      <c r="A13" s="18" t="inlineStr">
        <is>
          <t>2 · Før jul</t>
        </is>
      </c>
      <c r="B13" s="18" t="inlineStr">
        <is>
          <t>1HO</t>
        </is>
      </c>
      <c r="C13" s="18" t="inlineStr">
        <is>
          <t>Emil Solheim</t>
        </is>
      </c>
      <c r="D13" s="18" t="inlineStr">
        <is>
          <t>Frammøte</t>
        </is>
      </c>
      <c r="E13" s="19" t="inlineStr">
        <is>
          <t>Tverrfagleg møte med oppfølgingstenesta før jul.</t>
        </is>
      </c>
      <c r="F13" s="18" t="inlineStr">
        <is>
          <t>Rådgivar</t>
        </is>
      </c>
      <c r="G13" s="20" t="n">
        <v>46368</v>
      </c>
      <c r="H13" s="18" t="inlineStr">
        <is>
          <t>Ikkje starta</t>
        </is>
      </c>
      <c r="I13">
        <f>IF(AND($E13&lt;&gt;"",$B13='Oversikt'!$C$5,$C13='Elevkort'!$C$4),MAX(I$1:I12)+1,"")</f>
        <v/>
      </c>
    </row>
    <row r="14" ht="20" customHeight="1">
      <c r="A14" s="18" t="inlineStr">
        <is>
          <t>2 · Før jul</t>
        </is>
      </c>
      <c r="B14" s="18" t="inlineStr">
        <is>
          <t>1HO</t>
        </is>
      </c>
      <c r="C14" s="18" t="inlineStr">
        <is>
          <t>Nora Elvebakk</t>
        </is>
      </c>
      <c r="D14" s="18" t="inlineStr">
        <is>
          <t>Motivasjon</t>
        </is>
      </c>
      <c r="E14" s="19" t="inlineStr">
        <is>
          <t>Yrkesretting av fellesfaga: matematikk med døme frå helsefag.</t>
        </is>
      </c>
      <c r="F14" s="18" t="inlineStr">
        <is>
          <t>Faglærar matematikk</t>
        </is>
      </c>
      <c r="G14" s="20" t="n">
        <v>46407</v>
      </c>
      <c r="H14" s="18" t="inlineStr">
        <is>
          <t>Ikkje starta</t>
        </is>
      </c>
      <c r="I14">
        <f>IF(AND($E14&lt;&gt;"",$B14='Oversikt'!$C$5,$C14='Elevkort'!$C$4),MAX(I$1:I13)+1,"")</f>
        <v/>
      </c>
    </row>
    <row r="15" ht="20" customHeight="1">
      <c r="A15" s="18" t="inlineStr">
        <is>
          <t>2 · Før jul</t>
        </is>
      </c>
      <c r="B15" s="18" t="inlineStr">
        <is>
          <t>2AKV/FF</t>
        </is>
      </c>
      <c r="C15" s="18" t="inlineStr">
        <is>
          <t>Dina Fladset</t>
        </is>
      </c>
      <c r="D15" s="18" t="inlineStr">
        <is>
          <t>Trivsel</t>
        </is>
      </c>
      <c r="E15" s="19" t="inlineStr">
        <is>
          <t>Samtale om arbeidsmengd ved sida av skulen. Kontakt med helsesjukepleiar.</t>
        </is>
      </c>
      <c r="F15" s="18" t="inlineStr">
        <is>
          <t>Kontaktlærar</t>
        </is>
      </c>
      <c r="G15" s="20" t="n">
        <v>46366</v>
      </c>
      <c r="H15" s="18" t="inlineStr">
        <is>
          <t>Pågår</t>
        </is>
      </c>
      <c r="I15">
        <f>IF(AND($E15&lt;&gt;"",$B15='Oversikt'!$C$5,$C15='Elevkort'!$C$4),MAX(I$1:I14)+1,"")</f>
        <v/>
      </c>
    </row>
    <row r="16" ht="20" customHeight="1">
      <c r="A16" s="18" t="n"/>
      <c r="B16" s="18" t="n"/>
      <c r="C16" s="18" t="n"/>
      <c r="D16" s="18" t="n"/>
      <c r="E16" s="19" t="n"/>
      <c r="F16" s="18" t="n"/>
      <c r="G16" s="20" t="n"/>
      <c r="H16" s="18" t="n"/>
      <c r="I16">
        <f>IF(AND($E16&lt;&gt;"",$B16='Oversikt'!$C$5,$C16='Elevkort'!$C$4),MAX(I$1:I15)+1,"")</f>
        <v/>
      </c>
    </row>
    <row r="17" ht="20" customHeight="1">
      <c r="A17" s="18" t="n"/>
      <c r="B17" s="18" t="n"/>
      <c r="C17" s="18" t="n"/>
      <c r="D17" s="18" t="n"/>
      <c r="E17" s="19" t="n"/>
      <c r="F17" s="18" t="n"/>
      <c r="G17" s="20" t="n"/>
      <c r="H17" s="18" t="n"/>
      <c r="I17">
        <f>IF(AND($E17&lt;&gt;"",$B17='Oversikt'!$C$5,$C17='Elevkort'!$C$4),MAX(I$1:I16)+1,"")</f>
        <v/>
      </c>
    </row>
    <row r="18" ht="20" customHeight="1">
      <c r="A18" s="18" t="n"/>
      <c r="B18" s="18" t="n"/>
      <c r="C18" s="18" t="n"/>
      <c r="D18" s="18" t="n"/>
      <c r="E18" s="19" t="n"/>
      <c r="F18" s="18" t="n"/>
      <c r="G18" s="20" t="n"/>
      <c r="H18" s="18" t="n"/>
      <c r="I18">
        <f>IF(AND($E18&lt;&gt;"",$B18='Oversikt'!$C$5,$C18='Elevkort'!$C$4),MAX(I$1:I17)+1,"")</f>
        <v/>
      </c>
    </row>
    <row r="19" ht="20" customHeight="1">
      <c r="A19" s="18" t="n"/>
      <c r="B19" s="18" t="n"/>
      <c r="C19" s="18" t="n"/>
      <c r="D19" s="18" t="n"/>
      <c r="E19" s="19" t="n"/>
      <c r="F19" s="18" t="n"/>
      <c r="G19" s="20" t="n"/>
      <c r="H19" s="18" t="n"/>
      <c r="I19">
        <f>IF(AND($E19&lt;&gt;"",$B19='Oversikt'!$C$5,$C19='Elevkort'!$C$4),MAX(I$1:I18)+1,"")</f>
        <v/>
      </c>
    </row>
    <row r="20" ht="20" customHeight="1">
      <c r="A20" s="18" t="n"/>
      <c r="B20" s="18" t="n"/>
      <c r="C20" s="18" t="n"/>
      <c r="D20" s="18" t="n"/>
      <c r="E20" s="19" t="n"/>
      <c r="F20" s="18" t="n"/>
      <c r="G20" s="20" t="n"/>
      <c r="H20" s="18" t="n"/>
      <c r="I20">
        <f>IF(AND($E20&lt;&gt;"",$B20='Oversikt'!$C$5,$C20='Elevkort'!$C$4),MAX(I$1:I19)+1,"")</f>
        <v/>
      </c>
    </row>
    <row r="21" ht="20" customHeight="1">
      <c r="A21" s="18" t="n"/>
      <c r="B21" s="18" t="n"/>
      <c r="C21" s="18" t="n"/>
      <c r="D21" s="18" t="n"/>
      <c r="E21" s="19" t="n"/>
      <c r="F21" s="18" t="n"/>
      <c r="G21" s="20" t="n"/>
      <c r="H21" s="18" t="n"/>
      <c r="I21">
        <f>IF(AND($E21&lt;&gt;"",$B21='Oversikt'!$C$5,$C21='Elevkort'!$C$4),MAX(I$1:I20)+1,"")</f>
        <v/>
      </c>
    </row>
    <row r="22" ht="20" customHeight="1">
      <c r="A22" s="18" t="n"/>
      <c r="B22" s="18" t="n"/>
      <c r="C22" s="18" t="n"/>
      <c r="D22" s="18" t="n"/>
      <c r="E22" s="19" t="n"/>
      <c r="F22" s="18" t="n"/>
      <c r="G22" s="20" t="n"/>
      <c r="H22" s="18" t="n"/>
      <c r="I22">
        <f>IF(AND($E22&lt;&gt;"",$B22='Oversikt'!$C$5,$C22='Elevkort'!$C$4),MAX(I$1:I21)+1,"")</f>
        <v/>
      </c>
    </row>
    <row r="23" ht="20" customHeight="1">
      <c r="A23" s="18" t="n"/>
      <c r="B23" s="18" t="n"/>
      <c r="C23" s="18" t="n"/>
      <c r="D23" s="18" t="n"/>
      <c r="E23" s="19" t="n"/>
      <c r="F23" s="18" t="n"/>
      <c r="G23" s="20" t="n"/>
      <c r="H23" s="18" t="n"/>
      <c r="I23">
        <f>IF(AND($E23&lt;&gt;"",$B23='Oversikt'!$C$5,$C23='Elevkort'!$C$4),MAX(I$1:I22)+1,"")</f>
        <v/>
      </c>
    </row>
    <row r="24" ht="20" customHeight="1">
      <c r="A24" s="18" t="n"/>
      <c r="B24" s="18" t="n"/>
      <c r="C24" s="18" t="n"/>
      <c r="D24" s="18" t="n"/>
      <c r="E24" s="19" t="n"/>
      <c r="F24" s="18" t="n"/>
      <c r="G24" s="20" t="n"/>
      <c r="H24" s="18" t="n"/>
      <c r="I24">
        <f>IF(AND($E24&lt;&gt;"",$B24='Oversikt'!$C$5,$C24='Elevkort'!$C$4),MAX(I$1:I23)+1,"")</f>
        <v/>
      </c>
    </row>
    <row r="25" ht="20" customHeight="1">
      <c r="A25" s="18" t="n"/>
      <c r="B25" s="18" t="n"/>
      <c r="C25" s="18" t="n"/>
      <c r="D25" s="18" t="n"/>
      <c r="E25" s="19" t="n"/>
      <c r="F25" s="18" t="n"/>
      <c r="G25" s="20" t="n"/>
      <c r="H25" s="18" t="n"/>
      <c r="I25">
        <f>IF(AND($E25&lt;&gt;"",$B25='Oversikt'!$C$5,$C25='Elevkort'!$C$4),MAX(I$1:I24)+1,"")</f>
        <v/>
      </c>
    </row>
    <row r="26" ht="20" customHeight="1">
      <c r="A26" s="18" t="n"/>
      <c r="B26" s="18" t="n"/>
      <c r="C26" s="18" t="n"/>
      <c r="D26" s="18" t="n"/>
      <c r="E26" s="19" t="n"/>
      <c r="F26" s="18" t="n"/>
      <c r="G26" s="20" t="n"/>
      <c r="H26" s="18" t="n"/>
      <c r="I26">
        <f>IF(AND($E26&lt;&gt;"",$B26='Oversikt'!$C$5,$C26='Elevkort'!$C$4),MAX(I$1:I25)+1,"")</f>
        <v/>
      </c>
    </row>
    <row r="27" ht="20" customHeight="1">
      <c r="A27" s="18" t="n"/>
      <c r="B27" s="18" t="n"/>
      <c r="C27" s="18" t="n"/>
      <c r="D27" s="18" t="n"/>
      <c r="E27" s="19" t="n"/>
      <c r="F27" s="18" t="n"/>
      <c r="G27" s="20" t="n"/>
      <c r="H27" s="18" t="n"/>
      <c r="I27">
        <f>IF(AND($E27&lt;&gt;"",$B27='Oversikt'!$C$5,$C27='Elevkort'!$C$4),MAX(I$1:I26)+1,"")</f>
        <v/>
      </c>
    </row>
    <row r="28" ht="20" customHeight="1">
      <c r="A28" s="18" t="n"/>
      <c r="B28" s="18" t="n"/>
      <c r="C28" s="18" t="n"/>
      <c r="D28" s="18" t="n"/>
      <c r="E28" s="19" t="n"/>
      <c r="F28" s="18" t="n"/>
      <c r="G28" s="20" t="n"/>
      <c r="H28" s="18" t="n"/>
      <c r="I28">
        <f>IF(AND($E28&lt;&gt;"",$B28='Oversikt'!$C$5,$C28='Elevkort'!$C$4),MAX(I$1:I27)+1,"")</f>
        <v/>
      </c>
    </row>
    <row r="29" ht="20" customHeight="1">
      <c r="A29" s="18" t="n"/>
      <c r="B29" s="18" t="n"/>
      <c r="C29" s="18" t="n"/>
      <c r="D29" s="18" t="n"/>
      <c r="E29" s="19" t="n"/>
      <c r="F29" s="18" t="n"/>
      <c r="G29" s="20" t="n"/>
      <c r="H29" s="18" t="n"/>
      <c r="I29">
        <f>IF(AND($E29&lt;&gt;"",$B29='Oversikt'!$C$5,$C29='Elevkort'!$C$4),MAX(I$1:I28)+1,"")</f>
        <v/>
      </c>
    </row>
    <row r="30" ht="20" customHeight="1">
      <c r="A30" s="18" t="n"/>
      <c r="B30" s="18" t="n"/>
      <c r="C30" s="18" t="n"/>
      <c r="D30" s="18" t="n"/>
      <c r="E30" s="19" t="n"/>
      <c r="F30" s="18" t="n"/>
      <c r="G30" s="20" t="n"/>
      <c r="H30" s="18" t="n"/>
      <c r="I30">
        <f>IF(AND($E30&lt;&gt;"",$B30='Oversikt'!$C$5,$C30='Elevkort'!$C$4),MAX(I$1:I29)+1,"")</f>
        <v/>
      </c>
    </row>
    <row r="31" ht="20" customHeight="1">
      <c r="A31" s="18" t="n"/>
      <c r="B31" s="18" t="n"/>
      <c r="C31" s="18" t="n"/>
      <c r="D31" s="18" t="n"/>
      <c r="E31" s="19" t="n"/>
      <c r="F31" s="18" t="n"/>
      <c r="G31" s="20" t="n"/>
      <c r="H31" s="18" t="n"/>
      <c r="I31">
        <f>IF(AND($E31&lt;&gt;"",$B31='Oversikt'!$C$5,$C31='Elevkort'!$C$4),MAX(I$1:I30)+1,"")</f>
        <v/>
      </c>
    </row>
    <row r="32" ht="20" customHeight="1">
      <c r="A32" s="18" t="n"/>
      <c r="B32" s="18" t="n"/>
      <c r="C32" s="18" t="n"/>
      <c r="D32" s="18" t="n"/>
      <c r="E32" s="19" t="n"/>
      <c r="F32" s="18" t="n"/>
      <c r="G32" s="20" t="n"/>
      <c r="H32" s="18" t="n"/>
      <c r="I32">
        <f>IF(AND($E32&lt;&gt;"",$B32='Oversikt'!$C$5,$C32='Elevkort'!$C$4),MAX(I$1:I31)+1,"")</f>
        <v/>
      </c>
    </row>
    <row r="33" ht="20" customHeight="1">
      <c r="A33" s="18" t="n"/>
      <c r="B33" s="18" t="n"/>
      <c r="C33" s="18" t="n"/>
      <c r="D33" s="18" t="n"/>
      <c r="E33" s="19" t="n"/>
      <c r="F33" s="18" t="n"/>
      <c r="G33" s="20" t="n"/>
      <c r="H33" s="18" t="n"/>
      <c r="I33">
        <f>IF(AND($E33&lt;&gt;"",$B33='Oversikt'!$C$5,$C33='Elevkort'!$C$4),MAX(I$1:I32)+1,"")</f>
        <v/>
      </c>
    </row>
    <row r="34" ht="20" customHeight="1">
      <c r="A34" s="18" t="n"/>
      <c r="B34" s="18" t="n"/>
      <c r="C34" s="18" t="n"/>
      <c r="D34" s="18" t="n"/>
      <c r="E34" s="19" t="n"/>
      <c r="F34" s="18" t="n"/>
      <c r="G34" s="20" t="n"/>
      <c r="H34" s="18" t="n"/>
      <c r="I34">
        <f>IF(AND($E34&lt;&gt;"",$B34='Oversikt'!$C$5,$C34='Elevkort'!$C$4),MAX(I$1:I33)+1,"")</f>
        <v/>
      </c>
    </row>
    <row r="35" ht="20" customHeight="1">
      <c r="A35" s="18" t="n"/>
      <c r="B35" s="18" t="n"/>
      <c r="C35" s="18" t="n"/>
      <c r="D35" s="18" t="n"/>
      <c r="E35" s="19" t="n"/>
      <c r="F35" s="18" t="n"/>
      <c r="G35" s="20" t="n"/>
      <c r="H35" s="18" t="n"/>
      <c r="I35">
        <f>IF(AND($E35&lt;&gt;"",$B35='Oversikt'!$C$5,$C35='Elevkort'!$C$4),MAX(I$1:I34)+1,"")</f>
        <v/>
      </c>
    </row>
    <row r="36" ht="20" customHeight="1">
      <c r="A36" s="18" t="n"/>
      <c r="B36" s="18" t="n"/>
      <c r="C36" s="18" t="n"/>
      <c r="D36" s="18" t="n"/>
      <c r="E36" s="19" t="n"/>
      <c r="F36" s="18" t="n"/>
      <c r="G36" s="20" t="n"/>
      <c r="H36" s="18" t="n"/>
      <c r="I36">
        <f>IF(AND($E36&lt;&gt;"",$B36='Oversikt'!$C$5,$C36='Elevkort'!$C$4),MAX(I$1:I35)+1,"")</f>
        <v/>
      </c>
    </row>
    <row r="37" ht="20" customHeight="1">
      <c r="A37" s="18" t="n"/>
      <c r="B37" s="18" t="n"/>
      <c r="C37" s="18" t="n"/>
      <c r="D37" s="18" t="n"/>
      <c r="E37" s="19" t="n"/>
      <c r="F37" s="18" t="n"/>
      <c r="G37" s="20" t="n"/>
      <c r="H37" s="18" t="n"/>
      <c r="I37">
        <f>IF(AND($E37&lt;&gt;"",$B37='Oversikt'!$C$5,$C37='Elevkort'!$C$4),MAX(I$1:I36)+1,"")</f>
        <v/>
      </c>
    </row>
    <row r="38" ht="20" customHeight="1">
      <c r="A38" s="18" t="n"/>
      <c r="B38" s="18" t="n"/>
      <c r="C38" s="18" t="n"/>
      <c r="D38" s="18" t="n"/>
      <c r="E38" s="19" t="n"/>
      <c r="F38" s="18" t="n"/>
      <c r="G38" s="20" t="n"/>
      <c r="H38" s="18" t="n"/>
      <c r="I38">
        <f>IF(AND($E38&lt;&gt;"",$B38='Oversikt'!$C$5,$C38='Elevkort'!$C$4),MAX(I$1:I37)+1,"")</f>
        <v/>
      </c>
    </row>
    <row r="39" ht="20" customHeight="1">
      <c r="A39" s="18" t="n"/>
      <c r="B39" s="18" t="n"/>
      <c r="C39" s="18" t="n"/>
      <c r="D39" s="18" t="n"/>
      <c r="E39" s="19" t="n"/>
      <c r="F39" s="18" t="n"/>
      <c r="G39" s="20" t="n"/>
      <c r="H39" s="18" t="n"/>
      <c r="I39">
        <f>IF(AND($E39&lt;&gt;"",$B39='Oversikt'!$C$5,$C39='Elevkort'!$C$4),MAX(I$1:I38)+1,"")</f>
        <v/>
      </c>
    </row>
    <row r="40" ht="20" customHeight="1">
      <c r="A40" s="18" t="n"/>
      <c r="B40" s="18" t="n"/>
      <c r="C40" s="18" t="n"/>
      <c r="D40" s="18" t="n"/>
      <c r="E40" s="19" t="n"/>
      <c r="F40" s="18" t="n"/>
      <c r="G40" s="20" t="n"/>
      <c r="H40" s="18" t="n"/>
      <c r="I40">
        <f>IF(AND($E40&lt;&gt;"",$B40='Oversikt'!$C$5,$C40='Elevkort'!$C$4),MAX(I$1:I39)+1,"")</f>
        <v/>
      </c>
    </row>
    <row r="41" ht="20" customHeight="1">
      <c r="A41" s="18" t="n"/>
      <c r="B41" s="18" t="n"/>
      <c r="C41" s="18" t="n"/>
      <c r="D41" s="18" t="n"/>
      <c r="E41" s="19" t="n"/>
      <c r="F41" s="18" t="n"/>
      <c r="G41" s="20" t="n"/>
      <c r="H41" s="18" t="n"/>
      <c r="I41">
        <f>IF(AND($E41&lt;&gt;"",$B41='Oversikt'!$C$5,$C41='Elevkort'!$C$4),MAX(I$1:I40)+1,"")</f>
        <v/>
      </c>
    </row>
    <row r="42" ht="20" customHeight="1">
      <c r="A42" s="18" t="n"/>
      <c r="B42" s="18" t="n"/>
      <c r="C42" s="18" t="n"/>
      <c r="D42" s="18" t="n"/>
      <c r="E42" s="19" t="n"/>
      <c r="F42" s="18" t="n"/>
      <c r="G42" s="20" t="n"/>
      <c r="H42" s="18" t="n"/>
      <c r="I42">
        <f>IF(AND($E42&lt;&gt;"",$B42='Oversikt'!$C$5,$C42='Elevkort'!$C$4),MAX(I$1:I41)+1,"")</f>
        <v/>
      </c>
    </row>
    <row r="43" ht="20" customHeight="1">
      <c r="A43" s="18" t="n"/>
      <c r="B43" s="18" t="n"/>
      <c r="C43" s="18" t="n"/>
      <c r="D43" s="18" t="n"/>
      <c r="E43" s="19" t="n"/>
      <c r="F43" s="18" t="n"/>
      <c r="G43" s="20" t="n"/>
      <c r="H43" s="18" t="n"/>
      <c r="I43">
        <f>IF(AND($E43&lt;&gt;"",$B43='Oversikt'!$C$5,$C43='Elevkort'!$C$4),MAX(I$1:I42)+1,"")</f>
        <v/>
      </c>
    </row>
    <row r="44" ht="20" customHeight="1">
      <c r="A44" s="18" t="n"/>
      <c r="B44" s="18" t="n"/>
      <c r="C44" s="18" t="n"/>
      <c r="D44" s="18" t="n"/>
      <c r="E44" s="19" t="n"/>
      <c r="F44" s="18" t="n"/>
      <c r="G44" s="20" t="n"/>
      <c r="H44" s="18" t="n"/>
      <c r="I44">
        <f>IF(AND($E44&lt;&gt;"",$B44='Oversikt'!$C$5,$C44='Elevkort'!$C$4),MAX(I$1:I43)+1,"")</f>
        <v/>
      </c>
    </row>
    <row r="45" ht="20" customHeight="1">
      <c r="A45" s="18" t="n"/>
      <c r="B45" s="18" t="n"/>
      <c r="C45" s="18" t="n"/>
      <c r="D45" s="18" t="n"/>
      <c r="E45" s="19" t="n"/>
      <c r="F45" s="18" t="n"/>
      <c r="G45" s="20" t="n"/>
      <c r="H45" s="18" t="n"/>
      <c r="I45">
        <f>IF(AND($E45&lt;&gt;"",$B45='Oversikt'!$C$5,$C45='Elevkort'!$C$4),MAX(I$1:I44)+1,"")</f>
        <v/>
      </c>
    </row>
    <row r="46" ht="20" customHeight="1">
      <c r="A46" s="18" t="n"/>
      <c r="B46" s="18" t="n"/>
      <c r="C46" s="18" t="n"/>
      <c r="D46" s="18" t="n"/>
      <c r="E46" s="19" t="n"/>
      <c r="F46" s="18" t="n"/>
      <c r="G46" s="20" t="n"/>
      <c r="H46" s="18" t="n"/>
      <c r="I46">
        <f>IF(AND($E46&lt;&gt;"",$B46='Oversikt'!$C$5,$C46='Elevkort'!$C$4),MAX(I$1:I45)+1,"")</f>
        <v/>
      </c>
    </row>
    <row r="47" ht="20" customHeight="1">
      <c r="A47" s="18" t="n"/>
      <c r="B47" s="18" t="n"/>
      <c r="C47" s="18" t="n"/>
      <c r="D47" s="18" t="n"/>
      <c r="E47" s="19" t="n"/>
      <c r="F47" s="18" t="n"/>
      <c r="G47" s="20" t="n"/>
      <c r="H47" s="18" t="n"/>
      <c r="I47">
        <f>IF(AND($E47&lt;&gt;"",$B47='Oversikt'!$C$5,$C47='Elevkort'!$C$4),MAX(I$1:I46)+1,"")</f>
        <v/>
      </c>
    </row>
    <row r="48" ht="20" customHeight="1">
      <c r="A48" s="18" t="n"/>
      <c r="B48" s="18" t="n"/>
      <c r="C48" s="18" t="n"/>
      <c r="D48" s="18" t="n"/>
      <c r="E48" s="19" t="n"/>
      <c r="F48" s="18" t="n"/>
      <c r="G48" s="20" t="n"/>
      <c r="H48" s="18" t="n"/>
      <c r="I48">
        <f>IF(AND($E48&lt;&gt;"",$B48='Oversikt'!$C$5,$C48='Elevkort'!$C$4),MAX(I$1:I47)+1,"")</f>
        <v/>
      </c>
    </row>
    <row r="49" ht="20" customHeight="1">
      <c r="A49" s="18" t="n"/>
      <c r="B49" s="18" t="n"/>
      <c r="C49" s="18" t="n"/>
      <c r="D49" s="18" t="n"/>
      <c r="E49" s="19" t="n"/>
      <c r="F49" s="18" t="n"/>
      <c r="G49" s="20" t="n"/>
      <c r="H49" s="18" t="n"/>
      <c r="I49">
        <f>IF(AND($E49&lt;&gt;"",$B49='Oversikt'!$C$5,$C49='Elevkort'!$C$4),MAX(I$1:I48)+1,"")</f>
        <v/>
      </c>
    </row>
    <row r="50" ht="20" customHeight="1">
      <c r="A50" s="18" t="n"/>
      <c r="B50" s="18" t="n"/>
      <c r="C50" s="18" t="n"/>
      <c r="D50" s="18" t="n"/>
      <c r="E50" s="19" t="n"/>
      <c r="F50" s="18" t="n"/>
      <c r="G50" s="20" t="n"/>
      <c r="H50" s="18" t="n"/>
      <c r="I50">
        <f>IF(AND($E50&lt;&gt;"",$B50='Oversikt'!$C$5,$C50='Elevkort'!$C$4),MAX(I$1:I49)+1,"")</f>
        <v/>
      </c>
    </row>
    <row r="51" ht="20" customHeight="1">
      <c r="A51" s="18" t="n"/>
      <c r="B51" s="18" t="n"/>
      <c r="C51" s="18" t="n"/>
      <c r="D51" s="18" t="n"/>
      <c r="E51" s="19" t="n"/>
      <c r="F51" s="18" t="n"/>
      <c r="G51" s="20" t="n"/>
      <c r="H51" s="18" t="n"/>
      <c r="I51">
        <f>IF(AND($E51&lt;&gt;"",$B51='Oversikt'!$C$5,$C51='Elevkort'!$C$4),MAX(I$1:I50)+1,"")</f>
        <v/>
      </c>
    </row>
    <row r="52" ht="20" customHeight="1">
      <c r="A52" s="18" t="n"/>
      <c r="B52" s="18" t="n"/>
      <c r="C52" s="18" t="n"/>
      <c r="D52" s="18" t="n"/>
      <c r="E52" s="19" t="n"/>
      <c r="F52" s="18" t="n"/>
      <c r="G52" s="20" t="n"/>
      <c r="H52" s="18" t="n"/>
      <c r="I52">
        <f>IF(AND($E52&lt;&gt;"",$B52='Oversikt'!$C$5,$C52='Elevkort'!$C$4),MAX(I$1:I51)+1,"")</f>
        <v/>
      </c>
    </row>
    <row r="53" ht="20" customHeight="1">
      <c r="A53" s="18" t="n"/>
      <c r="B53" s="18" t="n"/>
      <c r="C53" s="18" t="n"/>
      <c r="D53" s="18" t="n"/>
      <c r="E53" s="19" t="n"/>
      <c r="F53" s="18" t="n"/>
      <c r="G53" s="20" t="n"/>
      <c r="H53" s="18" t="n"/>
      <c r="I53">
        <f>IF(AND($E53&lt;&gt;"",$B53='Oversikt'!$C$5,$C53='Elevkort'!$C$4),MAX(I$1:I52)+1,"")</f>
        <v/>
      </c>
    </row>
    <row r="54" ht="20" customHeight="1">
      <c r="A54" s="18" t="n"/>
      <c r="B54" s="18" t="n"/>
      <c r="C54" s="18" t="n"/>
      <c r="D54" s="18" t="n"/>
      <c r="E54" s="19" t="n"/>
      <c r="F54" s="18" t="n"/>
      <c r="G54" s="20" t="n"/>
      <c r="H54" s="18" t="n"/>
      <c r="I54">
        <f>IF(AND($E54&lt;&gt;"",$B54='Oversikt'!$C$5,$C54='Elevkort'!$C$4),MAX(I$1:I53)+1,"")</f>
        <v/>
      </c>
    </row>
    <row r="55" ht="20" customHeight="1">
      <c r="A55" s="18" t="n"/>
      <c r="B55" s="18" t="n"/>
      <c r="C55" s="18" t="n"/>
      <c r="D55" s="18" t="n"/>
      <c r="E55" s="19" t="n"/>
      <c r="F55" s="18" t="n"/>
      <c r="G55" s="20" t="n"/>
      <c r="H55" s="18" t="n"/>
      <c r="I55">
        <f>IF(AND($E55&lt;&gt;"",$B55='Oversikt'!$C$5,$C55='Elevkort'!$C$4),MAX(I$1:I54)+1,"")</f>
        <v/>
      </c>
    </row>
    <row r="56" ht="20" customHeight="1">
      <c r="A56" s="18" t="n"/>
      <c r="B56" s="18" t="n"/>
      <c r="C56" s="18" t="n"/>
      <c r="D56" s="18" t="n"/>
      <c r="E56" s="19" t="n"/>
      <c r="F56" s="18" t="n"/>
      <c r="G56" s="20" t="n"/>
      <c r="H56" s="18" t="n"/>
      <c r="I56">
        <f>IF(AND($E56&lt;&gt;"",$B56='Oversikt'!$C$5,$C56='Elevkort'!$C$4),MAX(I$1:I55)+1,"")</f>
        <v/>
      </c>
    </row>
    <row r="57" ht="20" customHeight="1">
      <c r="A57" s="18" t="n"/>
      <c r="B57" s="18" t="n"/>
      <c r="C57" s="18" t="n"/>
      <c r="D57" s="18" t="n"/>
      <c r="E57" s="19" t="n"/>
      <c r="F57" s="18" t="n"/>
      <c r="G57" s="20" t="n"/>
      <c r="H57" s="18" t="n"/>
      <c r="I57">
        <f>IF(AND($E57&lt;&gt;"",$B57='Oversikt'!$C$5,$C57='Elevkort'!$C$4),MAX(I$1:I56)+1,"")</f>
        <v/>
      </c>
    </row>
    <row r="58" ht="20" customHeight="1">
      <c r="A58" s="18" t="n"/>
      <c r="B58" s="18" t="n"/>
      <c r="C58" s="18" t="n"/>
      <c r="D58" s="18" t="n"/>
      <c r="E58" s="19" t="n"/>
      <c r="F58" s="18" t="n"/>
      <c r="G58" s="20" t="n"/>
      <c r="H58" s="18" t="n"/>
      <c r="I58">
        <f>IF(AND($E58&lt;&gt;"",$B58='Oversikt'!$C$5,$C58='Elevkort'!$C$4),MAX(I$1:I57)+1,"")</f>
        <v/>
      </c>
    </row>
    <row r="59" ht="20" customHeight="1">
      <c r="A59" s="18" t="n"/>
      <c r="B59" s="18" t="n"/>
      <c r="C59" s="18" t="n"/>
      <c r="D59" s="18" t="n"/>
      <c r="E59" s="19" t="n"/>
      <c r="F59" s="18" t="n"/>
      <c r="G59" s="20" t="n"/>
      <c r="H59" s="18" t="n"/>
      <c r="I59">
        <f>IF(AND($E59&lt;&gt;"",$B59='Oversikt'!$C$5,$C59='Elevkort'!$C$4),MAX(I$1:I58)+1,"")</f>
        <v/>
      </c>
    </row>
    <row r="60" ht="20" customHeight="1">
      <c r="A60" s="18" t="n"/>
      <c r="B60" s="18" t="n"/>
      <c r="C60" s="18" t="n"/>
      <c r="D60" s="18" t="n"/>
      <c r="E60" s="19" t="n"/>
      <c r="F60" s="18" t="n"/>
      <c r="G60" s="20" t="n"/>
      <c r="H60" s="18" t="n"/>
      <c r="I60">
        <f>IF(AND($E60&lt;&gt;"",$B60='Oversikt'!$C$5,$C60='Elevkort'!$C$4),MAX(I$1:I59)+1,"")</f>
        <v/>
      </c>
    </row>
    <row r="61" ht="20" customHeight="1">
      <c r="A61" s="18" t="n"/>
      <c r="B61" s="18" t="n"/>
      <c r="C61" s="18" t="n"/>
      <c r="D61" s="18" t="n"/>
      <c r="E61" s="19" t="n"/>
      <c r="F61" s="18" t="n"/>
      <c r="G61" s="20" t="n"/>
      <c r="H61" s="18" t="n"/>
      <c r="I61">
        <f>IF(AND($E61&lt;&gt;"",$B61='Oversikt'!$C$5,$C61='Elevkort'!$C$4),MAX(I$1:I60)+1,"")</f>
        <v/>
      </c>
    </row>
    <row r="62" ht="20" customHeight="1">
      <c r="A62" s="18" t="n"/>
      <c r="B62" s="18" t="n"/>
      <c r="C62" s="18" t="n"/>
      <c r="D62" s="18" t="n"/>
      <c r="E62" s="19" t="n"/>
      <c r="F62" s="18" t="n"/>
      <c r="G62" s="20" t="n"/>
      <c r="H62" s="18" t="n"/>
      <c r="I62">
        <f>IF(AND($E62&lt;&gt;"",$B62='Oversikt'!$C$5,$C62='Elevkort'!$C$4),MAX(I$1:I61)+1,"")</f>
        <v/>
      </c>
    </row>
    <row r="63" ht="20" customHeight="1">
      <c r="A63" s="18" t="n"/>
      <c r="B63" s="18" t="n"/>
      <c r="C63" s="18" t="n"/>
      <c r="D63" s="18" t="n"/>
      <c r="E63" s="19" t="n"/>
      <c r="F63" s="18" t="n"/>
      <c r="G63" s="20" t="n"/>
      <c r="H63" s="18" t="n"/>
      <c r="I63">
        <f>IF(AND($E63&lt;&gt;"",$B63='Oversikt'!$C$5,$C63='Elevkort'!$C$4),MAX(I$1:I62)+1,"")</f>
        <v/>
      </c>
    </row>
    <row r="64" ht="20" customHeight="1">
      <c r="A64" s="18" t="n"/>
      <c r="B64" s="18" t="n"/>
      <c r="C64" s="18" t="n"/>
      <c r="D64" s="18" t="n"/>
      <c r="E64" s="19" t="n"/>
      <c r="F64" s="18" t="n"/>
      <c r="G64" s="20" t="n"/>
      <c r="H64" s="18" t="n"/>
      <c r="I64">
        <f>IF(AND($E64&lt;&gt;"",$B64='Oversikt'!$C$5,$C64='Elevkort'!$C$4),MAX(I$1:I63)+1,"")</f>
        <v/>
      </c>
    </row>
    <row r="65" ht="20" customHeight="1">
      <c r="A65" s="18" t="n"/>
      <c r="B65" s="18" t="n"/>
      <c r="C65" s="18" t="n"/>
      <c r="D65" s="18" t="n"/>
      <c r="E65" s="19" t="n"/>
      <c r="F65" s="18" t="n"/>
      <c r="G65" s="20" t="n"/>
      <c r="H65" s="18" t="n"/>
      <c r="I65">
        <f>IF(AND($E65&lt;&gt;"",$B65='Oversikt'!$C$5,$C65='Elevkort'!$C$4),MAX(I$1:I64)+1,"")</f>
        <v/>
      </c>
    </row>
    <row r="66" ht="20" customHeight="1">
      <c r="A66" s="18" t="n"/>
      <c r="B66" s="18" t="n"/>
      <c r="C66" s="18" t="n"/>
      <c r="D66" s="18" t="n"/>
      <c r="E66" s="19" t="n"/>
      <c r="F66" s="18" t="n"/>
      <c r="G66" s="20" t="n"/>
      <c r="H66" s="18" t="n"/>
      <c r="I66">
        <f>IF(AND($E66&lt;&gt;"",$B66='Oversikt'!$C$5,$C66='Elevkort'!$C$4),MAX(I$1:I65)+1,"")</f>
        <v/>
      </c>
    </row>
    <row r="67" ht="20" customHeight="1">
      <c r="A67" s="18" t="n"/>
      <c r="B67" s="18" t="n"/>
      <c r="C67" s="18" t="n"/>
      <c r="D67" s="18" t="n"/>
      <c r="E67" s="19" t="n"/>
      <c r="F67" s="18" t="n"/>
      <c r="G67" s="20" t="n"/>
      <c r="H67" s="18" t="n"/>
      <c r="I67">
        <f>IF(AND($E67&lt;&gt;"",$B67='Oversikt'!$C$5,$C67='Elevkort'!$C$4),MAX(I$1:I66)+1,"")</f>
        <v/>
      </c>
    </row>
    <row r="68" ht="20" customHeight="1">
      <c r="A68" s="18" t="n"/>
      <c r="B68" s="18" t="n"/>
      <c r="C68" s="18" t="n"/>
      <c r="D68" s="18" t="n"/>
      <c r="E68" s="19" t="n"/>
      <c r="F68" s="18" t="n"/>
      <c r="G68" s="20" t="n"/>
      <c r="H68" s="18" t="n"/>
      <c r="I68">
        <f>IF(AND($E68&lt;&gt;"",$B68='Oversikt'!$C$5,$C68='Elevkort'!$C$4),MAX(I$1:I67)+1,"")</f>
        <v/>
      </c>
    </row>
    <row r="69" ht="20" customHeight="1">
      <c r="A69" s="18" t="n"/>
      <c r="B69" s="18" t="n"/>
      <c r="C69" s="18" t="n"/>
      <c r="D69" s="18" t="n"/>
      <c r="E69" s="19" t="n"/>
      <c r="F69" s="18" t="n"/>
      <c r="G69" s="20" t="n"/>
      <c r="H69" s="18" t="n"/>
      <c r="I69">
        <f>IF(AND($E69&lt;&gt;"",$B69='Oversikt'!$C$5,$C69='Elevkort'!$C$4),MAX(I$1:I68)+1,"")</f>
        <v/>
      </c>
    </row>
    <row r="70" ht="20" customHeight="1">
      <c r="A70" s="18" t="n"/>
      <c r="B70" s="18" t="n"/>
      <c r="C70" s="18" t="n"/>
      <c r="D70" s="18" t="n"/>
      <c r="E70" s="19" t="n"/>
      <c r="F70" s="18" t="n"/>
      <c r="G70" s="20" t="n"/>
      <c r="H70" s="18" t="n"/>
      <c r="I70">
        <f>IF(AND($E70&lt;&gt;"",$B70='Oversikt'!$C$5,$C70='Elevkort'!$C$4),MAX(I$1:I69)+1,"")</f>
        <v/>
      </c>
    </row>
    <row r="71" ht="20" customHeight="1">
      <c r="A71" s="18" t="n"/>
      <c r="B71" s="18" t="n"/>
      <c r="C71" s="18" t="n"/>
      <c r="D71" s="18" t="n"/>
      <c r="E71" s="19" t="n"/>
      <c r="F71" s="18" t="n"/>
      <c r="G71" s="20" t="n"/>
      <c r="H71" s="18" t="n"/>
      <c r="I71">
        <f>IF(AND($E71&lt;&gt;"",$B71='Oversikt'!$C$5,$C71='Elevkort'!$C$4),MAX(I$1:I70)+1,"")</f>
        <v/>
      </c>
    </row>
    <row r="72" ht="20" customHeight="1">
      <c r="A72" s="18" t="n"/>
      <c r="B72" s="18" t="n"/>
      <c r="C72" s="18" t="n"/>
      <c r="D72" s="18" t="n"/>
      <c r="E72" s="19" t="n"/>
      <c r="F72" s="18" t="n"/>
      <c r="G72" s="20" t="n"/>
      <c r="H72" s="18" t="n"/>
      <c r="I72">
        <f>IF(AND($E72&lt;&gt;"",$B72='Oversikt'!$C$5,$C72='Elevkort'!$C$4),MAX(I$1:I71)+1,"")</f>
        <v/>
      </c>
    </row>
    <row r="73" ht="20" customHeight="1">
      <c r="A73" s="18" t="n"/>
      <c r="B73" s="18" t="n"/>
      <c r="C73" s="18" t="n"/>
      <c r="D73" s="18" t="n"/>
      <c r="E73" s="19" t="n"/>
      <c r="F73" s="18" t="n"/>
      <c r="G73" s="20" t="n"/>
      <c r="H73" s="18" t="n"/>
      <c r="I73">
        <f>IF(AND($E73&lt;&gt;"",$B73='Oversikt'!$C$5,$C73='Elevkort'!$C$4),MAX(I$1:I72)+1,"")</f>
        <v/>
      </c>
    </row>
    <row r="74" ht="20" customHeight="1">
      <c r="A74" s="18" t="n"/>
      <c r="B74" s="18" t="n"/>
      <c r="C74" s="18" t="n"/>
      <c r="D74" s="18" t="n"/>
      <c r="E74" s="19" t="n"/>
      <c r="F74" s="18" t="n"/>
      <c r="G74" s="20" t="n"/>
      <c r="H74" s="18" t="n"/>
      <c r="I74">
        <f>IF(AND($E74&lt;&gt;"",$B74='Oversikt'!$C$5,$C74='Elevkort'!$C$4),MAX(I$1:I73)+1,"")</f>
        <v/>
      </c>
    </row>
    <row r="75" ht="20" customHeight="1">
      <c r="A75" s="18" t="n"/>
      <c r="B75" s="18" t="n"/>
      <c r="C75" s="18" t="n"/>
      <c r="D75" s="18" t="n"/>
      <c r="E75" s="19" t="n"/>
      <c r="F75" s="18" t="n"/>
      <c r="G75" s="20" t="n"/>
      <c r="H75" s="18" t="n"/>
      <c r="I75">
        <f>IF(AND($E75&lt;&gt;"",$B75='Oversikt'!$C$5,$C75='Elevkort'!$C$4),MAX(I$1:I74)+1,"")</f>
        <v/>
      </c>
    </row>
    <row r="76" ht="20" customHeight="1">
      <c r="A76" s="18" t="n"/>
      <c r="B76" s="18" t="n"/>
      <c r="C76" s="18" t="n"/>
      <c r="D76" s="18" t="n"/>
      <c r="E76" s="19" t="n"/>
      <c r="F76" s="18" t="n"/>
      <c r="G76" s="20" t="n"/>
      <c r="H76" s="18" t="n"/>
      <c r="I76">
        <f>IF(AND($E76&lt;&gt;"",$B76='Oversikt'!$C$5,$C76='Elevkort'!$C$4),MAX(I$1:I75)+1,"")</f>
        <v/>
      </c>
    </row>
    <row r="77" ht="20" customHeight="1">
      <c r="A77" s="18" t="n"/>
      <c r="B77" s="18" t="n"/>
      <c r="C77" s="18" t="n"/>
      <c r="D77" s="18" t="n"/>
      <c r="E77" s="19" t="n"/>
      <c r="F77" s="18" t="n"/>
      <c r="G77" s="20" t="n"/>
      <c r="H77" s="18" t="n"/>
      <c r="I77">
        <f>IF(AND($E77&lt;&gt;"",$B77='Oversikt'!$C$5,$C77='Elevkort'!$C$4),MAX(I$1:I76)+1,"")</f>
        <v/>
      </c>
    </row>
    <row r="78" ht="20" customHeight="1">
      <c r="A78" s="18" t="n"/>
      <c r="B78" s="18" t="n"/>
      <c r="C78" s="18" t="n"/>
      <c r="D78" s="18" t="n"/>
      <c r="E78" s="19" t="n"/>
      <c r="F78" s="18" t="n"/>
      <c r="G78" s="20" t="n"/>
      <c r="H78" s="18" t="n"/>
      <c r="I78">
        <f>IF(AND($E78&lt;&gt;"",$B78='Oversikt'!$C$5,$C78='Elevkort'!$C$4),MAX(I$1:I77)+1,"")</f>
        <v/>
      </c>
    </row>
    <row r="79" ht="20" customHeight="1">
      <c r="A79" s="18" t="n"/>
      <c r="B79" s="18" t="n"/>
      <c r="C79" s="18" t="n"/>
      <c r="D79" s="18" t="n"/>
      <c r="E79" s="19" t="n"/>
      <c r="F79" s="18" t="n"/>
      <c r="G79" s="20" t="n"/>
      <c r="H79" s="18" t="n"/>
      <c r="I79">
        <f>IF(AND($E79&lt;&gt;"",$B79='Oversikt'!$C$5,$C79='Elevkort'!$C$4),MAX(I$1:I78)+1,"")</f>
        <v/>
      </c>
    </row>
    <row r="80" ht="20" customHeight="1">
      <c r="A80" s="18" t="n"/>
      <c r="B80" s="18" t="n"/>
      <c r="C80" s="18" t="n"/>
      <c r="D80" s="18" t="n"/>
      <c r="E80" s="19" t="n"/>
      <c r="F80" s="18" t="n"/>
      <c r="G80" s="20" t="n"/>
      <c r="H80" s="18" t="n"/>
      <c r="I80">
        <f>IF(AND($E80&lt;&gt;"",$B80='Oversikt'!$C$5,$C80='Elevkort'!$C$4),MAX(I$1:I79)+1,"")</f>
        <v/>
      </c>
    </row>
    <row r="81" ht="20" customHeight="1">
      <c r="A81" s="18" t="n"/>
      <c r="B81" s="18" t="n"/>
      <c r="C81" s="18" t="n"/>
      <c r="D81" s="18" t="n"/>
      <c r="E81" s="19" t="n"/>
      <c r="F81" s="18" t="n"/>
      <c r="G81" s="20" t="n"/>
      <c r="H81" s="18" t="n"/>
      <c r="I81">
        <f>IF(AND($E81&lt;&gt;"",$B81='Oversikt'!$C$5,$C81='Elevkort'!$C$4),MAX(I$1:I80)+1,"")</f>
        <v/>
      </c>
    </row>
    <row r="82" ht="20" customHeight="1">
      <c r="A82" s="18" t="n"/>
      <c r="B82" s="18" t="n"/>
      <c r="C82" s="18" t="n"/>
      <c r="D82" s="18" t="n"/>
      <c r="E82" s="19" t="n"/>
      <c r="F82" s="18" t="n"/>
      <c r="G82" s="20" t="n"/>
      <c r="H82" s="18" t="n"/>
      <c r="I82">
        <f>IF(AND($E82&lt;&gt;"",$B82='Oversikt'!$C$5,$C82='Elevkort'!$C$4),MAX(I$1:I81)+1,"")</f>
        <v/>
      </c>
    </row>
    <row r="83" ht="20" customHeight="1">
      <c r="A83" s="18" t="n"/>
      <c r="B83" s="18" t="n"/>
      <c r="C83" s="18" t="n"/>
      <c r="D83" s="18" t="n"/>
      <c r="E83" s="19" t="n"/>
      <c r="F83" s="18" t="n"/>
      <c r="G83" s="20" t="n"/>
      <c r="H83" s="18" t="n"/>
      <c r="I83">
        <f>IF(AND($E83&lt;&gt;"",$B83='Oversikt'!$C$5,$C83='Elevkort'!$C$4),MAX(I$1:I82)+1,"")</f>
        <v/>
      </c>
    </row>
    <row r="84" ht="20" customHeight="1">
      <c r="A84" s="18" t="n"/>
      <c r="B84" s="18" t="n"/>
      <c r="C84" s="18" t="n"/>
      <c r="D84" s="18" t="n"/>
      <c r="E84" s="19" t="n"/>
      <c r="F84" s="18" t="n"/>
      <c r="G84" s="20" t="n"/>
      <c r="H84" s="18" t="n"/>
      <c r="I84">
        <f>IF(AND($E84&lt;&gt;"",$B84='Oversikt'!$C$5,$C84='Elevkort'!$C$4),MAX(I$1:I83)+1,"")</f>
        <v/>
      </c>
    </row>
    <row r="85" ht="20" customHeight="1">
      <c r="A85" s="18" t="n"/>
      <c r="B85" s="18" t="n"/>
      <c r="C85" s="18" t="n"/>
      <c r="D85" s="18" t="n"/>
      <c r="E85" s="19" t="n"/>
      <c r="F85" s="18" t="n"/>
      <c r="G85" s="20" t="n"/>
      <c r="H85" s="18" t="n"/>
      <c r="I85">
        <f>IF(AND($E85&lt;&gt;"",$B85='Oversikt'!$C$5,$C85='Elevkort'!$C$4),MAX(I$1:I84)+1,"")</f>
        <v/>
      </c>
    </row>
    <row r="86" ht="20" customHeight="1">
      <c r="A86" s="18" t="n"/>
      <c r="B86" s="18" t="n"/>
      <c r="C86" s="18" t="n"/>
      <c r="D86" s="18" t="n"/>
      <c r="E86" s="19" t="n"/>
      <c r="F86" s="18" t="n"/>
      <c r="G86" s="20" t="n"/>
      <c r="H86" s="18" t="n"/>
      <c r="I86">
        <f>IF(AND($E86&lt;&gt;"",$B86='Oversikt'!$C$5,$C86='Elevkort'!$C$4),MAX(I$1:I85)+1,"")</f>
        <v/>
      </c>
    </row>
    <row r="87" ht="20" customHeight="1">
      <c r="A87" s="18" t="n"/>
      <c r="B87" s="18" t="n"/>
      <c r="C87" s="18" t="n"/>
      <c r="D87" s="18" t="n"/>
      <c r="E87" s="19" t="n"/>
      <c r="F87" s="18" t="n"/>
      <c r="G87" s="20" t="n"/>
      <c r="H87" s="18" t="n"/>
      <c r="I87">
        <f>IF(AND($E87&lt;&gt;"",$B87='Oversikt'!$C$5,$C87='Elevkort'!$C$4),MAX(I$1:I86)+1,"")</f>
        <v/>
      </c>
    </row>
    <row r="88" ht="20" customHeight="1">
      <c r="A88" s="18" t="n"/>
      <c r="B88" s="18" t="n"/>
      <c r="C88" s="18" t="n"/>
      <c r="D88" s="18" t="n"/>
      <c r="E88" s="19" t="n"/>
      <c r="F88" s="18" t="n"/>
      <c r="G88" s="20" t="n"/>
      <c r="H88" s="18" t="n"/>
      <c r="I88">
        <f>IF(AND($E88&lt;&gt;"",$B88='Oversikt'!$C$5,$C88='Elevkort'!$C$4),MAX(I$1:I87)+1,"")</f>
        <v/>
      </c>
    </row>
    <row r="89" ht="20" customHeight="1">
      <c r="A89" s="18" t="n"/>
      <c r="B89" s="18" t="n"/>
      <c r="C89" s="18" t="n"/>
      <c r="D89" s="18" t="n"/>
      <c r="E89" s="19" t="n"/>
      <c r="F89" s="18" t="n"/>
      <c r="G89" s="20" t="n"/>
      <c r="H89" s="18" t="n"/>
      <c r="I89">
        <f>IF(AND($E89&lt;&gt;"",$B89='Oversikt'!$C$5,$C89='Elevkort'!$C$4),MAX(I$1:I88)+1,"")</f>
        <v/>
      </c>
    </row>
    <row r="90" ht="20" customHeight="1">
      <c r="A90" s="18" t="n"/>
      <c r="B90" s="18" t="n"/>
      <c r="C90" s="18" t="n"/>
      <c r="D90" s="18" t="n"/>
      <c r="E90" s="19" t="n"/>
      <c r="F90" s="18" t="n"/>
      <c r="G90" s="20" t="n"/>
      <c r="H90" s="18" t="n"/>
      <c r="I90">
        <f>IF(AND($E90&lt;&gt;"",$B90='Oversikt'!$C$5,$C90='Elevkort'!$C$4),MAX(I$1:I89)+1,"")</f>
        <v/>
      </c>
    </row>
    <row r="91" ht="20" customHeight="1">
      <c r="A91" s="18" t="n"/>
      <c r="B91" s="18" t="n"/>
      <c r="C91" s="18" t="n"/>
      <c r="D91" s="18" t="n"/>
      <c r="E91" s="19" t="n"/>
      <c r="F91" s="18" t="n"/>
      <c r="G91" s="20" t="n"/>
      <c r="H91" s="18" t="n"/>
      <c r="I91">
        <f>IF(AND($E91&lt;&gt;"",$B91='Oversikt'!$C$5,$C91='Elevkort'!$C$4),MAX(I$1:I90)+1,"")</f>
        <v/>
      </c>
    </row>
    <row r="92" ht="20" customHeight="1">
      <c r="A92" s="18" t="n"/>
      <c r="B92" s="18" t="n"/>
      <c r="C92" s="18" t="n"/>
      <c r="D92" s="18" t="n"/>
      <c r="E92" s="19" t="n"/>
      <c r="F92" s="18" t="n"/>
      <c r="G92" s="20" t="n"/>
      <c r="H92" s="18" t="n"/>
      <c r="I92">
        <f>IF(AND($E92&lt;&gt;"",$B92='Oversikt'!$C$5,$C92='Elevkort'!$C$4),MAX(I$1:I91)+1,"")</f>
        <v/>
      </c>
    </row>
    <row r="93" ht="20" customHeight="1">
      <c r="A93" s="18" t="n"/>
      <c r="B93" s="18" t="n"/>
      <c r="C93" s="18" t="n"/>
      <c r="D93" s="18" t="n"/>
      <c r="E93" s="19" t="n"/>
      <c r="F93" s="18" t="n"/>
      <c r="G93" s="20" t="n"/>
      <c r="H93" s="18" t="n"/>
      <c r="I93">
        <f>IF(AND($E93&lt;&gt;"",$B93='Oversikt'!$C$5,$C93='Elevkort'!$C$4),MAX(I$1:I92)+1,"")</f>
        <v/>
      </c>
    </row>
    <row r="94" ht="20" customHeight="1">
      <c r="A94" s="18" t="n"/>
      <c r="B94" s="18" t="n"/>
      <c r="C94" s="18" t="n"/>
      <c r="D94" s="18" t="n"/>
      <c r="E94" s="19" t="n"/>
      <c r="F94" s="18" t="n"/>
      <c r="G94" s="20" t="n"/>
      <c r="H94" s="18" t="n"/>
      <c r="I94">
        <f>IF(AND($E94&lt;&gt;"",$B94='Oversikt'!$C$5,$C94='Elevkort'!$C$4),MAX(I$1:I93)+1,"")</f>
        <v/>
      </c>
    </row>
    <row r="95" ht="20" customHeight="1">
      <c r="A95" s="18" t="n"/>
      <c r="B95" s="18" t="n"/>
      <c r="C95" s="18" t="n"/>
      <c r="D95" s="18" t="n"/>
      <c r="E95" s="19" t="n"/>
      <c r="F95" s="18" t="n"/>
      <c r="G95" s="20" t="n"/>
      <c r="H95" s="18" t="n"/>
      <c r="I95">
        <f>IF(AND($E95&lt;&gt;"",$B95='Oversikt'!$C$5,$C95='Elevkort'!$C$4),MAX(I$1:I94)+1,"")</f>
        <v/>
      </c>
    </row>
    <row r="96" ht="20" customHeight="1">
      <c r="A96" s="18" t="n"/>
      <c r="B96" s="18" t="n"/>
      <c r="C96" s="18" t="n"/>
      <c r="D96" s="18" t="n"/>
      <c r="E96" s="19" t="n"/>
      <c r="F96" s="18" t="n"/>
      <c r="G96" s="20" t="n"/>
      <c r="H96" s="18" t="n"/>
      <c r="I96">
        <f>IF(AND($E96&lt;&gt;"",$B96='Oversikt'!$C$5,$C96='Elevkort'!$C$4),MAX(I$1:I95)+1,"")</f>
        <v/>
      </c>
    </row>
    <row r="97" ht="20" customHeight="1">
      <c r="A97" s="18" t="n"/>
      <c r="B97" s="18" t="n"/>
      <c r="C97" s="18" t="n"/>
      <c r="D97" s="18" t="n"/>
      <c r="E97" s="19" t="n"/>
      <c r="F97" s="18" t="n"/>
      <c r="G97" s="20" t="n"/>
      <c r="H97" s="18" t="n"/>
      <c r="I97">
        <f>IF(AND($E97&lt;&gt;"",$B97='Oversikt'!$C$5,$C97='Elevkort'!$C$4),MAX(I$1:I96)+1,"")</f>
        <v/>
      </c>
    </row>
    <row r="98" ht="20" customHeight="1">
      <c r="A98" s="18" t="n"/>
      <c r="B98" s="18" t="n"/>
      <c r="C98" s="18" t="n"/>
      <c r="D98" s="18" t="n"/>
      <c r="E98" s="19" t="n"/>
      <c r="F98" s="18" t="n"/>
      <c r="G98" s="20" t="n"/>
      <c r="H98" s="18" t="n"/>
      <c r="I98">
        <f>IF(AND($E98&lt;&gt;"",$B98='Oversikt'!$C$5,$C98='Elevkort'!$C$4),MAX(I$1:I97)+1,"")</f>
        <v/>
      </c>
    </row>
    <row r="99" ht="20" customHeight="1">
      <c r="A99" s="18" t="n"/>
      <c r="B99" s="18" t="n"/>
      <c r="C99" s="18" t="n"/>
      <c r="D99" s="18" t="n"/>
      <c r="E99" s="19" t="n"/>
      <c r="F99" s="18" t="n"/>
      <c r="G99" s="20" t="n"/>
      <c r="H99" s="18" t="n"/>
      <c r="I99">
        <f>IF(AND($E99&lt;&gt;"",$B99='Oversikt'!$C$5,$C99='Elevkort'!$C$4),MAX(I$1:I98)+1,"")</f>
        <v/>
      </c>
    </row>
    <row r="100" ht="20" customHeight="1">
      <c r="A100" s="18" t="n"/>
      <c r="B100" s="18" t="n"/>
      <c r="C100" s="18" t="n"/>
      <c r="D100" s="18" t="n"/>
      <c r="E100" s="19" t="n"/>
      <c r="F100" s="18" t="n"/>
      <c r="G100" s="20" t="n"/>
      <c r="H100" s="18" t="n"/>
      <c r="I100">
        <f>IF(AND($E100&lt;&gt;"",$B100='Oversikt'!$C$5,$C100='Elevkort'!$C$4),MAX(I$1:I99)+1,"")</f>
        <v/>
      </c>
    </row>
    <row r="101" ht="20" customHeight="1">
      <c r="A101" s="18" t="n"/>
      <c r="B101" s="18" t="n"/>
      <c r="C101" s="18" t="n"/>
      <c r="D101" s="18" t="n"/>
      <c r="E101" s="19" t="n"/>
      <c r="F101" s="18" t="n"/>
      <c r="G101" s="20" t="n"/>
      <c r="H101" s="18" t="n"/>
      <c r="I101">
        <f>IF(AND($E101&lt;&gt;"",$B101='Oversikt'!$C$5,$C101='Elevkort'!$C$4),MAX(I$1:I100)+1,"")</f>
        <v/>
      </c>
    </row>
    <row r="102" ht="20" customHeight="1">
      <c r="A102" s="18" t="n"/>
      <c r="B102" s="18" t="n"/>
      <c r="C102" s="18" t="n"/>
      <c r="D102" s="18" t="n"/>
      <c r="E102" s="19" t="n"/>
      <c r="F102" s="18" t="n"/>
      <c r="G102" s="20" t="n"/>
      <c r="H102" s="18" t="n"/>
      <c r="I102">
        <f>IF(AND($E102&lt;&gt;"",$B102='Oversikt'!$C$5,$C102='Elevkort'!$C$4),MAX(I$1:I101)+1,"")</f>
        <v/>
      </c>
    </row>
    <row r="103" ht="20" customHeight="1">
      <c r="A103" s="18" t="n"/>
      <c r="B103" s="18" t="n"/>
      <c r="C103" s="18" t="n"/>
      <c r="D103" s="18" t="n"/>
      <c r="E103" s="19" t="n"/>
      <c r="F103" s="18" t="n"/>
      <c r="G103" s="20" t="n"/>
      <c r="H103" s="18" t="n"/>
      <c r="I103">
        <f>IF(AND($E103&lt;&gt;"",$B103='Oversikt'!$C$5,$C103='Elevkort'!$C$4),MAX(I$1:I102)+1,"")</f>
        <v/>
      </c>
    </row>
    <row r="104" ht="20" customHeight="1">
      <c r="A104" s="18" t="n"/>
      <c r="B104" s="18" t="n"/>
      <c r="C104" s="18" t="n"/>
      <c r="D104" s="18" t="n"/>
      <c r="E104" s="19" t="n"/>
      <c r="F104" s="18" t="n"/>
      <c r="G104" s="20" t="n"/>
      <c r="H104" s="18" t="n"/>
      <c r="I104">
        <f>IF(AND($E104&lt;&gt;"",$B104='Oversikt'!$C$5,$C104='Elevkort'!$C$4),MAX(I$1:I103)+1,"")</f>
        <v/>
      </c>
    </row>
    <row r="105" ht="20" customHeight="1">
      <c r="A105" s="18" t="n"/>
      <c r="B105" s="18" t="n"/>
      <c r="C105" s="18" t="n"/>
      <c r="D105" s="18" t="n"/>
      <c r="E105" s="19" t="n"/>
      <c r="F105" s="18" t="n"/>
      <c r="G105" s="20" t="n"/>
      <c r="H105" s="18" t="n"/>
      <c r="I105">
        <f>IF(AND($E105&lt;&gt;"",$B105='Oversikt'!$C$5,$C105='Elevkort'!$C$4),MAX(I$1:I104)+1,"")</f>
        <v/>
      </c>
    </row>
    <row r="106" ht="20" customHeight="1">
      <c r="A106" s="18" t="n"/>
      <c r="B106" s="18" t="n"/>
      <c r="C106" s="18" t="n"/>
      <c r="D106" s="18" t="n"/>
      <c r="E106" s="19" t="n"/>
      <c r="F106" s="18" t="n"/>
      <c r="G106" s="20" t="n"/>
      <c r="H106" s="18" t="n"/>
      <c r="I106">
        <f>IF(AND($E106&lt;&gt;"",$B106='Oversikt'!$C$5,$C106='Elevkort'!$C$4),MAX(I$1:I105)+1,"")</f>
        <v/>
      </c>
    </row>
    <row r="107" ht="20" customHeight="1">
      <c r="A107" s="18" t="n"/>
      <c r="B107" s="18" t="n"/>
      <c r="C107" s="18" t="n"/>
      <c r="D107" s="18" t="n"/>
      <c r="E107" s="19" t="n"/>
      <c r="F107" s="18" t="n"/>
      <c r="G107" s="20" t="n"/>
      <c r="H107" s="18" t="n"/>
      <c r="I107">
        <f>IF(AND($E107&lt;&gt;"",$B107='Oversikt'!$C$5,$C107='Elevkort'!$C$4),MAX(I$1:I106)+1,"")</f>
        <v/>
      </c>
    </row>
    <row r="108" ht="20" customHeight="1">
      <c r="A108" s="18" t="n"/>
      <c r="B108" s="18" t="n"/>
      <c r="C108" s="18" t="n"/>
      <c r="D108" s="18" t="n"/>
      <c r="E108" s="19" t="n"/>
      <c r="F108" s="18" t="n"/>
      <c r="G108" s="20" t="n"/>
      <c r="H108" s="18" t="n"/>
      <c r="I108">
        <f>IF(AND($E108&lt;&gt;"",$B108='Oversikt'!$C$5,$C108='Elevkort'!$C$4),MAX(I$1:I107)+1,"")</f>
        <v/>
      </c>
    </row>
    <row r="109" ht="20" customHeight="1">
      <c r="A109" s="18" t="n"/>
      <c r="B109" s="18" t="n"/>
      <c r="C109" s="18" t="n"/>
      <c r="D109" s="18" t="n"/>
      <c r="E109" s="19" t="n"/>
      <c r="F109" s="18" t="n"/>
      <c r="G109" s="20" t="n"/>
      <c r="H109" s="18" t="n"/>
      <c r="I109">
        <f>IF(AND($E109&lt;&gt;"",$B109='Oversikt'!$C$5,$C109='Elevkort'!$C$4),MAX(I$1:I108)+1,"")</f>
        <v/>
      </c>
    </row>
    <row r="110" ht="20" customHeight="1">
      <c r="A110" s="18" t="n"/>
      <c r="B110" s="18" t="n"/>
      <c r="C110" s="18" t="n"/>
      <c r="D110" s="18" t="n"/>
      <c r="E110" s="19" t="n"/>
      <c r="F110" s="18" t="n"/>
      <c r="G110" s="20" t="n"/>
      <c r="H110" s="18" t="n"/>
      <c r="I110">
        <f>IF(AND($E110&lt;&gt;"",$B110='Oversikt'!$C$5,$C110='Elevkort'!$C$4),MAX(I$1:I109)+1,"")</f>
        <v/>
      </c>
    </row>
    <row r="111" ht="20" customHeight="1">
      <c r="A111" s="18" t="n"/>
      <c r="B111" s="18" t="n"/>
      <c r="C111" s="18" t="n"/>
      <c r="D111" s="18" t="n"/>
      <c r="E111" s="19" t="n"/>
      <c r="F111" s="18" t="n"/>
      <c r="G111" s="20" t="n"/>
      <c r="H111" s="18" t="n"/>
      <c r="I111">
        <f>IF(AND($E111&lt;&gt;"",$B111='Oversikt'!$C$5,$C111='Elevkort'!$C$4),MAX(I$1:I110)+1,"")</f>
        <v/>
      </c>
    </row>
    <row r="112" ht="20" customHeight="1">
      <c r="A112" s="18" t="n"/>
      <c r="B112" s="18" t="n"/>
      <c r="C112" s="18" t="n"/>
      <c r="D112" s="18" t="n"/>
      <c r="E112" s="19" t="n"/>
      <c r="F112" s="18" t="n"/>
      <c r="G112" s="20" t="n"/>
      <c r="H112" s="18" t="n"/>
      <c r="I112">
        <f>IF(AND($E112&lt;&gt;"",$B112='Oversikt'!$C$5,$C112='Elevkort'!$C$4),MAX(I$1:I111)+1,"")</f>
        <v/>
      </c>
    </row>
    <row r="113" ht="20" customHeight="1">
      <c r="A113" s="18" t="n"/>
      <c r="B113" s="18" t="n"/>
      <c r="C113" s="18" t="n"/>
      <c r="D113" s="18" t="n"/>
      <c r="E113" s="19" t="n"/>
      <c r="F113" s="18" t="n"/>
      <c r="G113" s="20" t="n"/>
      <c r="H113" s="18" t="n"/>
      <c r="I113">
        <f>IF(AND($E113&lt;&gt;"",$B113='Oversikt'!$C$5,$C113='Elevkort'!$C$4),MAX(I$1:I112)+1,"")</f>
        <v/>
      </c>
    </row>
    <row r="114" ht="20" customHeight="1">
      <c r="A114" s="18" t="n"/>
      <c r="B114" s="18" t="n"/>
      <c r="C114" s="18" t="n"/>
      <c r="D114" s="18" t="n"/>
      <c r="E114" s="19" t="n"/>
      <c r="F114" s="18" t="n"/>
      <c r="G114" s="20" t="n"/>
      <c r="H114" s="18" t="n"/>
      <c r="I114">
        <f>IF(AND($E114&lt;&gt;"",$B114='Oversikt'!$C$5,$C114='Elevkort'!$C$4),MAX(I$1:I113)+1,"")</f>
        <v/>
      </c>
    </row>
    <row r="115" ht="20" customHeight="1">
      <c r="A115" s="18" t="n"/>
      <c r="B115" s="18" t="n"/>
      <c r="C115" s="18" t="n"/>
      <c r="D115" s="18" t="n"/>
      <c r="E115" s="19" t="n"/>
      <c r="F115" s="18" t="n"/>
      <c r="G115" s="20" t="n"/>
      <c r="H115" s="18" t="n"/>
      <c r="I115">
        <f>IF(AND($E115&lt;&gt;"",$B115='Oversikt'!$C$5,$C115='Elevkort'!$C$4),MAX(I$1:I114)+1,"")</f>
        <v/>
      </c>
    </row>
    <row r="116" ht="20" customHeight="1">
      <c r="A116" s="18" t="n"/>
      <c r="B116" s="18" t="n"/>
      <c r="C116" s="18" t="n"/>
      <c r="D116" s="18" t="n"/>
      <c r="E116" s="19" t="n"/>
      <c r="F116" s="18" t="n"/>
      <c r="G116" s="20" t="n"/>
      <c r="H116" s="18" t="n"/>
      <c r="I116">
        <f>IF(AND($E116&lt;&gt;"",$B116='Oversikt'!$C$5,$C116='Elevkort'!$C$4),MAX(I$1:I115)+1,"")</f>
        <v/>
      </c>
    </row>
    <row r="117" ht="20" customHeight="1">
      <c r="A117" s="18" t="n"/>
      <c r="B117" s="18" t="n"/>
      <c r="C117" s="18" t="n"/>
      <c r="D117" s="18" t="n"/>
      <c r="E117" s="19" t="n"/>
      <c r="F117" s="18" t="n"/>
      <c r="G117" s="20" t="n"/>
      <c r="H117" s="18" t="n"/>
      <c r="I117">
        <f>IF(AND($E117&lt;&gt;"",$B117='Oversikt'!$C$5,$C117='Elevkort'!$C$4),MAX(I$1:I116)+1,"")</f>
        <v/>
      </c>
    </row>
    <row r="118" ht="20" customHeight="1">
      <c r="A118" s="18" t="n"/>
      <c r="B118" s="18" t="n"/>
      <c r="C118" s="18" t="n"/>
      <c r="D118" s="18" t="n"/>
      <c r="E118" s="19" t="n"/>
      <c r="F118" s="18" t="n"/>
      <c r="G118" s="20" t="n"/>
      <c r="H118" s="18" t="n"/>
      <c r="I118">
        <f>IF(AND($E118&lt;&gt;"",$B118='Oversikt'!$C$5,$C118='Elevkort'!$C$4),MAX(I$1:I117)+1,"")</f>
        <v/>
      </c>
    </row>
    <row r="119" ht="20" customHeight="1">
      <c r="A119" s="18" t="n"/>
      <c r="B119" s="18" t="n"/>
      <c r="C119" s="18" t="n"/>
      <c r="D119" s="18" t="n"/>
      <c r="E119" s="19" t="n"/>
      <c r="F119" s="18" t="n"/>
      <c r="G119" s="20" t="n"/>
      <c r="H119" s="18" t="n"/>
      <c r="I119">
        <f>IF(AND($E119&lt;&gt;"",$B119='Oversikt'!$C$5,$C119='Elevkort'!$C$4),MAX(I$1:I118)+1,"")</f>
        <v/>
      </c>
    </row>
    <row r="120" ht="20" customHeight="1">
      <c r="A120" s="18" t="n"/>
      <c r="B120" s="18" t="n"/>
      <c r="C120" s="18" t="n"/>
      <c r="D120" s="18" t="n"/>
      <c r="E120" s="19" t="n"/>
      <c r="F120" s="18" t="n"/>
      <c r="G120" s="20" t="n"/>
      <c r="H120" s="18" t="n"/>
      <c r="I120">
        <f>IF(AND($E120&lt;&gt;"",$B120='Oversikt'!$C$5,$C120='Elevkort'!$C$4),MAX(I$1:I119)+1,"")</f>
        <v/>
      </c>
    </row>
    <row r="121" ht="20" customHeight="1">
      <c r="A121" s="18" t="n"/>
      <c r="B121" s="18" t="n"/>
      <c r="C121" s="18" t="n"/>
      <c r="D121" s="18" t="n"/>
      <c r="E121" s="19" t="n"/>
      <c r="F121" s="18" t="n"/>
      <c r="G121" s="20" t="n"/>
      <c r="H121" s="18" t="n"/>
      <c r="I121">
        <f>IF(AND($E121&lt;&gt;"",$B121='Oversikt'!$C$5,$C121='Elevkort'!$C$4),MAX(I$1:I120)+1,"")</f>
        <v/>
      </c>
    </row>
    <row r="122" ht="20" customHeight="1">
      <c r="A122" s="18" t="n"/>
      <c r="B122" s="18" t="n"/>
      <c r="C122" s="18" t="n"/>
      <c r="D122" s="18" t="n"/>
      <c r="E122" s="19" t="n"/>
      <c r="F122" s="18" t="n"/>
      <c r="G122" s="20" t="n"/>
      <c r="H122" s="18" t="n"/>
      <c r="I122">
        <f>IF(AND($E122&lt;&gt;"",$B122='Oversikt'!$C$5,$C122='Elevkort'!$C$4),MAX(I$1:I121)+1,"")</f>
        <v/>
      </c>
    </row>
    <row r="123" ht="20" customHeight="1">
      <c r="A123" s="18" t="n"/>
      <c r="B123" s="18" t="n"/>
      <c r="C123" s="18" t="n"/>
      <c r="D123" s="18" t="n"/>
      <c r="E123" s="19" t="n"/>
      <c r="F123" s="18" t="n"/>
      <c r="G123" s="20" t="n"/>
      <c r="H123" s="18" t="n"/>
      <c r="I123">
        <f>IF(AND($E123&lt;&gt;"",$B123='Oversikt'!$C$5,$C123='Elevkort'!$C$4),MAX(I$1:I122)+1,"")</f>
        <v/>
      </c>
    </row>
    <row r="124" ht="20" customHeight="1">
      <c r="A124" s="18" t="n"/>
      <c r="B124" s="18" t="n"/>
      <c r="C124" s="18" t="n"/>
      <c r="D124" s="18" t="n"/>
      <c r="E124" s="19" t="n"/>
      <c r="F124" s="18" t="n"/>
      <c r="G124" s="20" t="n"/>
      <c r="H124" s="18" t="n"/>
      <c r="I124">
        <f>IF(AND($E124&lt;&gt;"",$B124='Oversikt'!$C$5,$C124='Elevkort'!$C$4),MAX(I$1:I123)+1,"")</f>
        <v/>
      </c>
    </row>
    <row r="125" ht="20" customHeight="1">
      <c r="A125" s="18" t="n"/>
      <c r="B125" s="18" t="n"/>
      <c r="C125" s="18" t="n"/>
      <c r="D125" s="18" t="n"/>
      <c r="E125" s="19" t="n"/>
      <c r="F125" s="18" t="n"/>
      <c r="G125" s="20" t="n"/>
      <c r="H125" s="18" t="n"/>
      <c r="I125">
        <f>IF(AND($E125&lt;&gt;"",$B125='Oversikt'!$C$5,$C125='Elevkort'!$C$4),MAX(I$1:I124)+1,"")</f>
        <v/>
      </c>
    </row>
    <row r="126" ht="20" customHeight="1">
      <c r="A126" s="18" t="n"/>
      <c r="B126" s="18" t="n"/>
      <c r="C126" s="18" t="n"/>
      <c r="D126" s="18" t="n"/>
      <c r="E126" s="19" t="n"/>
      <c r="F126" s="18" t="n"/>
      <c r="G126" s="20" t="n"/>
      <c r="H126" s="18" t="n"/>
      <c r="I126">
        <f>IF(AND($E126&lt;&gt;"",$B126='Oversikt'!$C$5,$C126='Elevkort'!$C$4),MAX(I$1:I125)+1,"")</f>
        <v/>
      </c>
    </row>
    <row r="127" ht="20" customHeight="1">
      <c r="A127" s="18" t="n"/>
      <c r="B127" s="18" t="n"/>
      <c r="C127" s="18" t="n"/>
      <c r="D127" s="18" t="n"/>
      <c r="E127" s="19" t="n"/>
      <c r="F127" s="18" t="n"/>
      <c r="G127" s="20" t="n"/>
      <c r="H127" s="18" t="n"/>
      <c r="I127">
        <f>IF(AND($E127&lt;&gt;"",$B127='Oversikt'!$C$5,$C127='Elevkort'!$C$4),MAX(I$1:I126)+1,"")</f>
        <v/>
      </c>
    </row>
    <row r="128" ht="20" customHeight="1">
      <c r="A128" s="18" t="n"/>
      <c r="B128" s="18" t="n"/>
      <c r="C128" s="18" t="n"/>
      <c r="D128" s="18" t="n"/>
      <c r="E128" s="19" t="n"/>
      <c r="F128" s="18" t="n"/>
      <c r="G128" s="20" t="n"/>
      <c r="H128" s="18" t="n"/>
      <c r="I128">
        <f>IF(AND($E128&lt;&gt;"",$B128='Oversikt'!$C$5,$C128='Elevkort'!$C$4),MAX(I$1:I127)+1,"")</f>
        <v/>
      </c>
    </row>
    <row r="129" ht="20" customHeight="1">
      <c r="A129" s="18" t="n"/>
      <c r="B129" s="18" t="n"/>
      <c r="C129" s="18" t="n"/>
      <c r="D129" s="18" t="n"/>
      <c r="E129" s="19" t="n"/>
      <c r="F129" s="18" t="n"/>
      <c r="G129" s="20" t="n"/>
      <c r="H129" s="18" t="n"/>
      <c r="I129">
        <f>IF(AND($E129&lt;&gt;"",$B129='Oversikt'!$C$5,$C129='Elevkort'!$C$4),MAX(I$1:I128)+1,"")</f>
        <v/>
      </c>
    </row>
    <row r="130" ht="20" customHeight="1">
      <c r="A130" s="18" t="n"/>
      <c r="B130" s="18" t="n"/>
      <c r="C130" s="18" t="n"/>
      <c r="D130" s="18" t="n"/>
      <c r="E130" s="19" t="n"/>
      <c r="F130" s="18" t="n"/>
      <c r="G130" s="20" t="n"/>
      <c r="H130" s="18" t="n"/>
      <c r="I130">
        <f>IF(AND($E130&lt;&gt;"",$B130='Oversikt'!$C$5,$C130='Elevkort'!$C$4),MAX(I$1:I129)+1,"")</f>
        <v/>
      </c>
    </row>
    <row r="131" ht="20" customHeight="1">
      <c r="A131" s="18" t="n"/>
      <c r="B131" s="18" t="n"/>
      <c r="C131" s="18" t="n"/>
      <c r="D131" s="18" t="n"/>
      <c r="E131" s="19" t="n"/>
      <c r="F131" s="18" t="n"/>
      <c r="G131" s="20" t="n"/>
      <c r="H131" s="18" t="n"/>
      <c r="I131">
        <f>IF(AND($E131&lt;&gt;"",$B131='Oversikt'!$C$5,$C131='Elevkort'!$C$4),MAX(I$1:I130)+1,"")</f>
        <v/>
      </c>
    </row>
    <row r="132" ht="20" customHeight="1">
      <c r="A132" s="18" t="n"/>
      <c r="B132" s="18" t="n"/>
      <c r="C132" s="18" t="n"/>
      <c r="D132" s="18" t="n"/>
      <c r="E132" s="19" t="n"/>
      <c r="F132" s="18" t="n"/>
      <c r="G132" s="20" t="n"/>
      <c r="H132" s="18" t="n"/>
      <c r="I132">
        <f>IF(AND($E132&lt;&gt;"",$B132='Oversikt'!$C$5,$C132='Elevkort'!$C$4),MAX(I$1:I131)+1,"")</f>
        <v/>
      </c>
    </row>
    <row r="133" ht="20" customHeight="1">
      <c r="A133" s="18" t="n"/>
      <c r="B133" s="18" t="n"/>
      <c r="C133" s="18" t="n"/>
      <c r="D133" s="18" t="n"/>
      <c r="E133" s="19" t="n"/>
      <c r="F133" s="18" t="n"/>
      <c r="G133" s="20" t="n"/>
      <c r="H133" s="18" t="n"/>
      <c r="I133">
        <f>IF(AND($E133&lt;&gt;"",$B133='Oversikt'!$C$5,$C133='Elevkort'!$C$4),MAX(I$1:I132)+1,"")</f>
        <v/>
      </c>
    </row>
    <row r="134" ht="20" customHeight="1">
      <c r="A134" s="18" t="n"/>
      <c r="B134" s="18" t="n"/>
      <c r="C134" s="18" t="n"/>
      <c r="D134" s="18" t="n"/>
      <c r="E134" s="19" t="n"/>
      <c r="F134" s="18" t="n"/>
      <c r="G134" s="20" t="n"/>
      <c r="H134" s="18" t="n"/>
      <c r="I134">
        <f>IF(AND($E134&lt;&gt;"",$B134='Oversikt'!$C$5,$C134='Elevkort'!$C$4),MAX(I$1:I133)+1,"")</f>
        <v/>
      </c>
    </row>
    <row r="135" ht="20" customHeight="1">
      <c r="A135" s="18" t="n"/>
      <c r="B135" s="18" t="n"/>
      <c r="C135" s="18" t="n"/>
      <c r="D135" s="18" t="n"/>
      <c r="E135" s="19" t="n"/>
      <c r="F135" s="18" t="n"/>
      <c r="G135" s="20" t="n"/>
      <c r="H135" s="18" t="n"/>
      <c r="I135">
        <f>IF(AND($E135&lt;&gt;"",$B135='Oversikt'!$C$5,$C135='Elevkort'!$C$4),MAX(I$1:I134)+1,"")</f>
        <v/>
      </c>
    </row>
    <row r="136" ht="20" customHeight="1">
      <c r="A136" s="18" t="n"/>
      <c r="B136" s="18" t="n"/>
      <c r="C136" s="18" t="n"/>
      <c r="D136" s="18" t="n"/>
      <c r="E136" s="19" t="n"/>
      <c r="F136" s="18" t="n"/>
      <c r="G136" s="20" t="n"/>
      <c r="H136" s="18" t="n"/>
      <c r="I136">
        <f>IF(AND($E136&lt;&gt;"",$B136='Oversikt'!$C$5,$C136='Elevkort'!$C$4),MAX(I$1:I135)+1,"")</f>
        <v/>
      </c>
    </row>
    <row r="137" ht="20" customHeight="1">
      <c r="A137" s="18" t="n"/>
      <c r="B137" s="18" t="n"/>
      <c r="C137" s="18" t="n"/>
      <c r="D137" s="18" t="n"/>
      <c r="E137" s="19" t="n"/>
      <c r="F137" s="18" t="n"/>
      <c r="G137" s="20" t="n"/>
      <c r="H137" s="18" t="n"/>
      <c r="I137">
        <f>IF(AND($E137&lt;&gt;"",$B137='Oversikt'!$C$5,$C137='Elevkort'!$C$4),MAX(I$1:I136)+1,"")</f>
        <v/>
      </c>
    </row>
    <row r="138" ht="20" customHeight="1">
      <c r="A138" s="18" t="n"/>
      <c r="B138" s="18" t="n"/>
      <c r="C138" s="18" t="n"/>
      <c r="D138" s="18" t="n"/>
      <c r="E138" s="19" t="n"/>
      <c r="F138" s="18" t="n"/>
      <c r="G138" s="20" t="n"/>
      <c r="H138" s="18" t="n"/>
      <c r="I138">
        <f>IF(AND($E138&lt;&gt;"",$B138='Oversikt'!$C$5,$C138='Elevkort'!$C$4),MAX(I$1:I137)+1,"")</f>
        <v/>
      </c>
    </row>
    <row r="139" ht="20" customHeight="1">
      <c r="A139" s="18" t="n"/>
      <c r="B139" s="18" t="n"/>
      <c r="C139" s="18" t="n"/>
      <c r="D139" s="18" t="n"/>
      <c r="E139" s="19" t="n"/>
      <c r="F139" s="18" t="n"/>
      <c r="G139" s="20" t="n"/>
      <c r="H139" s="18" t="n"/>
      <c r="I139">
        <f>IF(AND($E139&lt;&gt;"",$B139='Oversikt'!$C$5,$C139='Elevkort'!$C$4),MAX(I$1:I138)+1,"")</f>
        <v/>
      </c>
    </row>
    <row r="140" ht="20" customHeight="1">
      <c r="A140" s="18" t="n"/>
      <c r="B140" s="18" t="n"/>
      <c r="C140" s="18" t="n"/>
      <c r="D140" s="18" t="n"/>
      <c r="E140" s="19" t="n"/>
      <c r="F140" s="18" t="n"/>
      <c r="G140" s="20" t="n"/>
      <c r="H140" s="18" t="n"/>
      <c r="I140">
        <f>IF(AND($E140&lt;&gt;"",$B140='Oversikt'!$C$5,$C140='Elevkort'!$C$4),MAX(I$1:I139)+1,"")</f>
        <v/>
      </c>
    </row>
    <row r="141" ht="20" customHeight="1">
      <c r="A141" s="18" t="n"/>
      <c r="B141" s="18" t="n"/>
      <c r="C141" s="18" t="n"/>
      <c r="D141" s="18" t="n"/>
      <c r="E141" s="19" t="n"/>
      <c r="F141" s="18" t="n"/>
      <c r="G141" s="20" t="n"/>
      <c r="H141" s="18" t="n"/>
      <c r="I141">
        <f>IF(AND($E141&lt;&gt;"",$B141='Oversikt'!$C$5,$C141='Elevkort'!$C$4),MAX(I$1:I140)+1,"")</f>
        <v/>
      </c>
    </row>
    <row r="142" ht="20" customHeight="1">
      <c r="A142" s="18" t="n"/>
      <c r="B142" s="18" t="n"/>
      <c r="C142" s="18" t="n"/>
      <c r="D142" s="18" t="n"/>
      <c r="E142" s="19" t="n"/>
      <c r="F142" s="18" t="n"/>
      <c r="G142" s="20" t="n"/>
      <c r="H142" s="18" t="n"/>
      <c r="I142">
        <f>IF(AND($E142&lt;&gt;"",$B142='Oversikt'!$C$5,$C142='Elevkort'!$C$4),MAX(I$1:I141)+1,"")</f>
        <v/>
      </c>
    </row>
    <row r="143" ht="20" customHeight="1">
      <c r="A143" s="18" t="n"/>
      <c r="B143" s="18" t="n"/>
      <c r="C143" s="18" t="n"/>
      <c r="D143" s="18" t="n"/>
      <c r="E143" s="19" t="n"/>
      <c r="F143" s="18" t="n"/>
      <c r="G143" s="20" t="n"/>
      <c r="H143" s="18" t="n"/>
      <c r="I143">
        <f>IF(AND($E143&lt;&gt;"",$B143='Oversikt'!$C$5,$C143='Elevkort'!$C$4),MAX(I$1:I142)+1,"")</f>
        <v/>
      </c>
    </row>
    <row r="144" ht="20" customHeight="1">
      <c r="A144" s="18" t="n"/>
      <c r="B144" s="18" t="n"/>
      <c r="C144" s="18" t="n"/>
      <c r="D144" s="18" t="n"/>
      <c r="E144" s="19" t="n"/>
      <c r="F144" s="18" t="n"/>
      <c r="G144" s="20" t="n"/>
      <c r="H144" s="18" t="n"/>
      <c r="I144">
        <f>IF(AND($E144&lt;&gt;"",$B144='Oversikt'!$C$5,$C144='Elevkort'!$C$4),MAX(I$1:I143)+1,"")</f>
        <v/>
      </c>
    </row>
    <row r="145" ht="20" customHeight="1">
      <c r="A145" s="18" t="n"/>
      <c r="B145" s="18" t="n"/>
      <c r="C145" s="18" t="n"/>
      <c r="D145" s="18" t="n"/>
      <c r="E145" s="19" t="n"/>
      <c r="F145" s="18" t="n"/>
      <c r="G145" s="20" t="n"/>
      <c r="H145" s="18" t="n"/>
      <c r="I145">
        <f>IF(AND($E145&lt;&gt;"",$B145='Oversikt'!$C$5,$C145='Elevkort'!$C$4),MAX(I$1:I144)+1,"")</f>
        <v/>
      </c>
    </row>
    <row r="146" ht="20" customHeight="1">
      <c r="A146" s="18" t="n"/>
      <c r="B146" s="18" t="n"/>
      <c r="C146" s="18" t="n"/>
      <c r="D146" s="18" t="n"/>
      <c r="E146" s="19" t="n"/>
      <c r="F146" s="18" t="n"/>
      <c r="G146" s="20" t="n"/>
      <c r="H146" s="18" t="n"/>
      <c r="I146">
        <f>IF(AND($E146&lt;&gt;"",$B146='Oversikt'!$C$5,$C146='Elevkort'!$C$4),MAX(I$1:I145)+1,"")</f>
        <v/>
      </c>
    </row>
    <row r="147" ht="20" customHeight="1">
      <c r="A147" s="18" t="n"/>
      <c r="B147" s="18" t="n"/>
      <c r="C147" s="18" t="n"/>
      <c r="D147" s="18" t="n"/>
      <c r="E147" s="19" t="n"/>
      <c r="F147" s="18" t="n"/>
      <c r="G147" s="20" t="n"/>
      <c r="H147" s="18" t="n"/>
      <c r="I147">
        <f>IF(AND($E147&lt;&gt;"",$B147='Oversikt'!$C$5,$C147='Elevkort'!$C$4),MAX(I$1:I146)+1,"")</f>
        <v/>
      </c>
    </row>
    <row r="148" ht="20" customHeight="1">
      <c r="A148" s="18" t="n"/>
      <c r="B148" s="18" t="n"/>
      <c r="C148" s="18" t="n"/>
      <c r="D148" s="18" t="n"/>
      <c r="E148" s="19" t="n"/>
      <c r="F148" s="18" t="n"/>
      <c r="G148" s="20" t="n"/>
      <c r="H148" s="18" t="n"/>
      <c r="I148">
        <f>IF(AND($E148&lt;&gt;"",$B148='Oversikt'!$C$5,$C148='Elevkort'!$C$4),MAX(I$1:I147)+1,"")</f>
        <v/>
      </c>
    </row>
    <row r="149" ht="20" customHeight="1">
      <c r="A149" s="18" t="n"/>
      <c r="B149" s="18" t="n"/>
      <c r="C149" s="18" t="n"/>
      <c r="D149" s="18" t="n"/>
      <c r="E149" s="19" t="n"/>
      <c r="F149" s="18" t="n"/>
      <c r="G149" s="20" t="n"/>
      <c r="H149" s="18" t="n"/>
      <c r="I149">
        <f>IF(AND($E149&lt;&gt;"",$B149='Oversikt'!$C$5,$C149='Elevkort'!$C$4),MAX(I$1:I148)+1,"")</f>
        <v/>
      </c>
    </row>
    <row r="150" ht="20" customHeight="1">
      <c r="A150" s="18" t="n"/>
      <c r="B150" s="18" t="n"/>
      <c r="C150" s="18" t="n"/>
      <c r="D150" s="18" t="n"/>
      <c r="E150" s="19" t="n"/>
      <c r="F150" s="18" t="n"/>
      <c r="G150" s="20" t="n"/>
      <c r="H150" s="18" t="n"/>
      <c r="I150">
        <f>IF(AND($E150&lt;&gt;"",$B150='Oversikt'!$C$5,$C150='Elevkort'!$C$4),MAX(I$1:I149)+1,"")</f>
        <v/>
      </c>
    </row>
    <row r="151" ht="20" customHeight="1">
      <c r="A151" s="18" t="n"/>
      <c r="B151" s="18" t="n"/>
      <c r="C151" s="18" t="n"/>
      <c r="D151" s="18" t="n"/>
      <c r="E151" s="19" t="n"/>
      <c r="F151" s="18" t="n"/>
      <c r="G151" s="20" t="n"/>
      <c r="H151" s="18" t="n"/>
      <c r="I151">
        <f>IF(AND($E151&lt;&gt;"",$B151='Oversikt'!$C$5,$C151='Elevkort'!$C$4),MAX(I$1:I150)+1,"")</f>
        <v/>
      </c>
    </row>
    <row r="152" ht="20" customHeight="1">
      <c r="A152" s="18" t="n"/>
      <c r="B152" s="18" t="n"/>
      <c r="C152" s="18" t="n"/>
      <c r="D152" s="18" t="n"/>
      <c r="E152" s="19" t="n"/>
      <c r="F152" s="18" t="n"/>
      <c r="G152" s="20" t="n"/>
      <c r="H152" s="18" t="n"/>
      <c r="I152">
        <f>IF(AND($E152&lt;&gt;"",$B152='Oversikt'!$C$5,$C152='Elevkort'!$C$4),MAX(I$1:I151)+1,"")</f>
        <v/>
      </c>
    </row>
    <row r="153" ht="20" customHeight="1">
      <c r="A153" s="18" t="n"/>
      <c r="B153" s="18" t="n"/>
      <c r="C153" s="18" t="n"/>
      <c r="D153" s="18" t="n"/>
      <c r="E153" s="19" t="n"/>
      <c r="F153" s="18" t="n"/>
      <c r="G153" s="20" t="n"/>
      <c r="H153" s="18" t="n"/>
      <c r="I153">
        <f>IF(AND($E153&lt;&gt;"",$B153='Oversikt'!$C$5,$C153='Elevkort'!$C$4),MAX(I$1:I152)+1,"")</f>
        <v/>
      </c>
    </row>
    <row r="154" ht="20" customHeight="1">
      <c r="A154" s="18" t="n"/>
      <c r="B154" s="18" t="n"/>
      <c r="C154" s="18" t="n"/>
      <c r="D154" s="18" t="n"/>
      <c r="E154" s="19" t="n"/>
      <c r="F154" s="18" t="n"/>
      <c r="G154" s="20" t="n"/>
      <c r="H154" s="18" t="n"/>
      <c r="I154">
        <f>IF(AND($E154&lt;&gt;"",$B154='Oversikt'!$C$5,$C154='Elevkort'!$C$4),MAX(I$1:I153)+1,"")</f>
        <v/>
      </c>
    </row>
    <row r="155" ht="20" customHeight="1">
      <c r="A155" s="18" t="n"/>
      <c r="B155" s="18" t="n"/>
      <c r="C155" s="18" t="n"/>
      <c r="D155" s="18" t="n"/>
      <c r="E155" s="19" t="n"/>
      <c r="F155" s="18" t="n"/>
      <c r="G155" s="20" t="n"/>
      <c r="H155" s="18" t="n"/>
      <c r="I155">
        <f>IF(AND($E155&lt;&gt;"",$B155='Oversikt'!$C$5,$C155='Elevkort'!$C$4),MAX(I$1:I154)+1,"")</f>
        <v/>
      </c>
    </row>
    <row r="156" ht="20" customHeight="1">
      <c r="A156" s="18" t="n"/>
      <c r="B156" s="18" t="n"/>
      <c r="C156" s="18" t="n"/>
      <c r="D156" s="18" t="n"/>
      <c r="E156" s="19" t="n"/>
      <c r="F156" s="18" t="n"/>
      <c r="G156" s="20" t="n"/>
      <c r="H156" s="18" t="n"/>
      <c r="I156">
        <f>IF(AND($E156&lt;&gt;"",$B156='Oversikt'!$C$5,$C156='Elevkort'!$C$4),MAX(I$1:I155)+1,"")</f>
        <v/>
      </c>
    </row>
    <row r="157" ht="20" customHeight="1">
      <c r="A157" s="18" t="n"/>
      <c r="B157" s="18" t="n"/>
      <c r="C157" s="18" t="n"/>
      <c r="D157" s="18" t="n"/>
      <c r="E157" s="19" t="n"/>
      <c r="F157" s="18" t="n"/>
      <c r="G157" s="20" t="n"/>
      <c r="H157" s="18" t="n"/>
      <c r="I157">
        <f>IF(AND($E157&lt;&gt;"",$B157='Oversikt'!$C$5,$C157='Elevkort'!$C$4),MAX(I$1:I156)+1,"")</f>
        <v/>
      </c>
    </row>
    <row r="158" ht="20" customHeight="1">
      <c r="A158" s="18" t="n"/>
      <c r="B158" s="18" t="n"/>
      <c r="C158" s="18" t="n"/>
      <c r="D158" s="18" t="n"/>
      <c r="E158" s="19" t="n"/>
      <c r="F158" s="18" t="n"/>
      <c r="G158" s="20" t="n"/>
      <c r="H158" s="18" t="n"/>
      <c r="I158">
        <f>IF(AND($E158&lt;&gt;"",$B158='Oversikt'!$C$5,$C158='Elevkort'!$C$4),MAX(I$1:I157)+1,"")</f>
        <v/>
      </c>
    </row>
    <row r="159" ht="20" customHeight="1">
      <c r="A159" s="18" t="n"/>
      <c r="B159" s="18" t="n"/>
      <c r="C159" s="18" t="n"/>
      <c r="D159" s="18" t="n"/>
      <c r="E159" s="19" t="n"/>
      <c r="F159" s="18" t="n"/>
      <c r="G159" s="20" t="n"/>
      <c r="H159" s="18" t="n"/>
      <c r="I159">
        <f>IF(AND($E159&lt;&gt;"",$B159='Oversikt'!$C$5,$C159='Elevkort'!$C$4),MAX(I$1:I158)+1,"")</f>
        <v/>
      </c>
    </row>
    <row r="160" ht="20" customHeight="1">
      <c r="A160" s="18" t="n"/>
      <c r="B160" s="18" t="n"/>
      <c r="C160" s="18" t="n"/>
      <c r="D160" s="18" t="n"/>
      <c r="E160" s="19" t="n"/>
      <c r="F160" s="18" t="n"/>
      <c r="G160" s="20" t="n"/>
      <c r="H160" s="18" t="n"/>
      <c r="I160">
        <f>IF(AND($E160&lt;&gt;"",$B160='Oversikt'!$C$5,$C160='Elevkort'!$C$4),MAX(I$1:I159)+1,"")</f>
        <v/>
      </c>
    </row>
    <row r="161" ht="20" customHeight="1">
      <c r="A161" s="18" t="n"/>
      <c r="B161" s="18" t="n"/>
      <c r="C161" s="18" t="n"/>
      <c r="D161" s="18" t="n"/>
      <c r="E161" s="19" t="n"/>
      <c r="F161" s="18" t="n"/>
      <c r="G161" s="20" t="n"/>
      <c r="H161" s="18" t="n"/>
      <c r="I161">
        <f>IF(AND($E161&lt;&gt;"",$B161='Oversikt'!$C$5,$C161='Elevkort'!$C$4),MAX(I$1:I160)+1,"")</f>
        <v/>
      </c>
    </row>
    <row r="162" ht="20" customHeight="1">
      <c r="A162" s="18" t="n"/>
      <c r="B162" s="18" t="n"/>
      <c r="C162" s="18" t="n"/>
      <c r="D162" s="18" t="n"/>
      <c r="E162" s="19" t="n"/>
      <c r="F162" s="18" t="n"/>
      <c r="G162" s="20" t="n"/>
      <c r="H162" s="18" t="n"/>
      <c r="I162">
        <f>IF(AND($E162&lt;&gt;"",$B162='Oversikt'!$C$5,$C162='Elevkort'!$C$4),MAX(I$1:I161)+1,"")</f>
        <v/>
      </c>
    </row>
    <row r="163" ht="20" customHeight="1">
      <c r="A163" s="18" t="n"/>
      <c r="B163" s="18" t="n"/>
      <c r="C163" s="18" t="n"/>
      <c r="D163" s="18" t="n"/>
      <c r="E163" s="19" t="n"/>
      <c r="F163" s="18" t="n"/>
      <c r="G163" s="20" t="n"/>
      <c r="H163" s="18" t="n"/>
      <c r="I163">
        <f>IF(AND($E163&lt;&gt;"",$B163='Oversikt'!$C$5,$C163='Elevkort'!$C$4),MAX(I$1:I162)+1,"")</f>
        <v/>
      </c>
    </row>
    <row r="164" ht="20" customHeight="1">
      <c r="A164" s="18" t="n"/>
      <c r="B164" s="18" t="n"/>
      <c r="C164" s="18" t="n"/>
      <c r="D164" s="18" t="n"/>
      <c r="E164" s="19" t="n"/>
      <c r="F164" s="18" t="n"/>
      <c r="G164" s="20" t="n"/>
      <c r="H164" s="18" t="n"/>
      <c r="I164">
        <f>IF(AND($E164&lt;&gt;"",$B164='Oversikt'!$C$5,$C164='Elevkort'!$C$4),MAX(I$1:I163)+1,"")</f>
        <v/>
      </c>
    </row>
    <row r="165" ht="20" customHeight="1">
      <c r="A165" s="18" t="n"/>
      <c r="B165" s="18" t="n"/>
      <c r="C165" s="18" t="n"/>
      <c r="D165" s="18" t="n"/>
      <c r="E165" s="19" t="n"/>
      <c r="F165" s="18" t="n"/>
      <c r="G165" s="20" t="n"/>
      <c r="H165" s="18" t="n"/>
      <c r="I165">
        <f>IF(AND($E165&lt;&gt;"",$B165='Oversikt'!$C$5,$C165='Elevkort'!$C$4),MAX(I$1:I164)+1,"")</f>
        <v/>
      </c>
    </row>
    <row r="166" ht="20" customHeight="1">
      <c r="A166" s="18" t="n"/>
      <c r="B166" s="18" t="n"/>
      <c r="C166" s="18" t="n"/>
      <c r="D166" s="18" t="n"/>
      <c r="E166" s="19" t="n"/>
      <c r="F166" s="18" t="n"/>
      <c r="G166" s="20" t="n"/>
      <c r="H166" s="18" t="n"/>
      <c r="I166">
        <f>IF(AND($E166&lt;&gt;"",$B166='Oversikt'!$C$5,$C166='Elevkort'!$C$4),MAX(I$1:I165)+1,"")</f>
        <v/>
      </c>
    </row>
    <row r="167" ht="20" customHeight="1">
      <c r="A167" s="18" t="n"/>
      <c r="B167" s="18" t="n"/>
      <c r="C167" s="18" t="n"/>
      <c r="D167" s="18" t="n"/>
      <c r="E167" s="19" t="n"/>
      <c r="F167" s="18" t="n"/>
      <c r="G167" s="20" t="n"/>
      <c r="H167" s="18" t="n"/>
      <c r="I167">
        <f>IF(AND($E167&lt;&gt;"",$B167='Oversikt'!$C$5,$C167='Elevkort'!$C$4),MAX(I$1:I166)+1,"")</f>
        <v/>
      </c>
    </row>
    <row r="168" ht="20" customHeight="1">
      <c r="A168" s="18" t="n"/>
      <c r="B168" s="18" t="n"/>
      <c r="C168" s="18" t="n"/>
      <c r="D168" s="18" t="n"/>
      <c r="E168" s="19" t="n"/>
      <c r="F168" s="18" t="n"/>
      <c r="G168" s="20" t="n"/>
      <c r="H168" s="18" t="n"/>
      <c r="I168">
        <f>IF(AND($E168&lt;&gt;"",$B168='Oversikt'!$C$5,$C168='Elevkort'!$C$4),MAX(I$1:I167)+1,"")</f>
        <v/>
      </c>
    </row>
    <row r="169" ht="20" customHeight="1">
      <c r="A169" s="18" t="n"/>
      <c r="B169" s="18" t="n"/>
      <c r="C169" s="18" t="n"/>
      <c r="D169" s="18" t="n"/>
      <c r="E169" s="19" t="n"/>
      <c r="F169" s="18" t="n"/>
      <c r="G169" s="20" t="n"/>
      <c r="H169" s="18" t="n"/>
      <c r="I169">
        <f>IF(AND($E169&lt;&gt;"",$B169='Oversikt'!$C$5,$C169='Elevkort'!$C$4),MAX(I$1:I168)+1,"")</f>
        <v/>
      </c>
    </row>
    <row r="170" ht="20" customHeight="1">
      <c r="A170" s="18" t="n"/>
      <c r="B170" s="18" t="n"/>
      <c r="C170" s="18" t="n"/>
      <c r="D170" s="18" t="n"/>
      <c r="E170" s="19" t="n"/>
      <c r="F170" s="18" t="n"/>
      <c r="G170" s="20" t="n"/>
      <c r="H170" s="18" t="n"/>
      <c r="I170">
        <f>IF(AND($E170&lt;&gt;"",$B170='Oversikt'!$C$5,$C170='Elevkort'!$C$4),MAX(I$1:I169)+1,"")</f>
        <v/>
      </c>
    </row>
    <row r="171" ht="20" customHeight="1">
      <c r="A171" s="18" t="n"/>
      <c r="B171" s="18" t="n"/>
      <c r="C171" s="18" t="n"/>
      <c r="D171" s="18" t="n"/>
      <c r="E171" s="19" t="n"/>
      <c r="F171" s="18" t="n"/>
      <c r="G171" s="20" t="n"/>
      <c r="H171" s="18" t="n"/>
      <c r="I171">
        <f>IF(AND($E171&lt;&gt;"",$B171='Oversikt'!$C$5,$C171='Elevkort'!$C$4),MAX(I$1:I170)+1,"")</f>
        <v/>
      </c>
    </row>
    <row r="172" ht="20" customHeight="1">
      <c r="A172" s="18" t="n"/>
      <c r="B172" s="18" t="n"/>
      <c r="C172" s="18" t="n"/>
      <c r="D172" s="18" t="n"/>
      <c r="E172" s="19" t="n"/>
      <c r="F172" s="18" t="n"/>
      <c r="G172" s="20" t="n"/>
      <c r="H172" s="18" t="n"/>
      <c r="I172">
        <f>IF(AND($E172&lt;&gt;"",$B172='Oversikt'!$C$5,$C172='Elevkort'!$C$4),MAX(I$1:I171)+1,"")</f>
        <v/>
      </c>
    </row>
    <row r="173" ht="20" customHeight="1">
      <c r="A173" s="18" t="n"/>
      <c r="B173" s="18" t="n"/>
      <c r="C173" s="18" t="n"/>
      <c r="D173" s="18" t="n"/>
      <c r="E173" s="19" t="n"/>
      <c r="F173" s="18" t="n"/>
      <c r="G173" s="20" t="n"/>
      <c r="H173" s="18" t="n"/>
      <c r="I173">
        <f>IF(AND($E173&lt;&gt;"",$B173='Oversikt'!$C$5,$C173='Elevkort'!$C$4),MAX(I$1:I172)+1,"")</f>
        <v/>
      </c>
    </row>
    <row r="174" ht="20" customHeight="1">
      <c r="A174" s="18" t="n"/>
      <c r="B174" s="18" t="n"/>
      <c r="C174" s="18" t="n"/>
      <c r="D174" s="18" t="n"/>
      <c r="E174" s="19" t="n"/>
      <c r="F174" s="18" t="n"/>
      <c r="G174" s="20" t="n"/>
      <c r="H174" s="18" t="n"/>
      <c r="I174">
        <f>IF(AND($E174&lt;&gt;"",$B174='Oversikt'!$C$5,$C174='Elevkort'!$C$4),MAX(I$1:I173)+1,"")</f>
        <v/>
      </c>
    </row>
    <row r="175" ht="20" customHeight="1">
      <c r="A175" s="18" t="n"/>
      <c r="B175" s="18" t="n"/>
      <c r="C175" s="18" t="n"/>
      <c r="D175" s="18" t="n"/>
      <c r="E175" s="19" t="n"/>
      <c r="F175" s="18" t="n"/>
      <c r="G175" s="20" t="n"/>
      <c r="H175" s="18" t="n"/>
      <c r="I175">
        <f>IF(AND($E175&lt;&gt;"",$B175='Oversikt'!$C$5,$C175='Elevkort'!$C$4),MAX(I$1:I174)+1,"")</f>
        <v/>
      </c>
    </row>
    <row r="176" ht="20" customHeight="1">
      <c r="A176" s="18" t="n"/>
      <c r="B176" s="18" t="n"/>
      <c r="C176" s="18" t="n"/>
      <c r="D176" s="18" t="n"/>
      <c r="E176" s="19" t="n"/>
      <c r="F176" s="18" t="n"/>
      <c r="G176" s="20" t="n"/>
      <c r="H176" s="18" t="n"/>
      <c r="I176">
        <f>IF(AND($E176&lt;&gt;"",$B176='Oversikt'!$C$5,$C176='Elevkort'!$C$4),MAX(I$1:I175)+1,"")</f>
        <v/>
      </c>
    </row>
    <row r="177" ht="20" customHeight="1">
      <c r="A177" s="18" t="n"/>
      <c r="B177" s="18" t="n"/>
      <c r="C177" s="18" t="n"/>
      <c r="D177" s="18" t="n"/>
      <c r="E177" s="19" t="n"/>
      <c r="F177" s="18" t="n"/>
      <c r="G177" s="20" t="n"/>
      <c r="H177" s="18" t="n"/>
      <c r="I177">
        <f>IF(AND($E177&lt;&gt;"",$B177='Oversikt'!$C$5,$C177='Elevkort'!$C$4),MAX(I$1:I176)+1,"")</f>
        <v/>
      </c>
    </row>
    <row r="178" ht="20" customHeight="1">
      <c r="A178" s="18" t="n"/>
      <c r="B178" s="18" t="n"/>
      <c r="C178" s="18" t="n"/>
      <c r="D178" s="18" t="n"/>
      <c r="E178" s="19" t="n"/>
      <c r="F178" s="18" t="n"/>
      <c r="G178" s="20" t="n"/>
      <c r="H178" s="18" t="n"/>
      <c r="I178">
        <f>IF(AND($E178&lt;&gt;"",$B178='Oversikt'!$C$5,$C178='Elevkort'!$C$4),MAX(I$1:I177)+1,"")</f>
        <v/>
      </c>
    </row>
    <row r="179" ht="20" customHeight="1">
      <c r="A179" s="18" t="n"/>
      <c r="B179" s="18" t="n"/>
      <c r="C179" s="18" t="n"/>
      <c r="D179" s="18" t="n"/>
      <c r="E179" s="19" t="n"/>
      <c r="F179" s="18" t="n"/>
      <c r="G179" s="20" t="n"/>
      <c r="H179" s="18" t="n"/>
      <c r="I179">
        <f>IF(AND($E179&lt;&gt;"",$B179='Oversikt'!$C$5,$C179='Elevkort'!$C$4),MAX(I$1:I178)+1,"")</f>
        <v/>
      </c>
    </row>
    <row r="180" ht="20" customHeight="1">
      <c r="A180" s="18" t="n"/>
      <c r="B180" s="18" t="n"/>
      <c r="C180" s="18" t="n"/>
      <c r="D180" s="18" t="n"/>
      <c r="E180" s="19" t="n"/>
      <c r="F180" s="18" t="n"/>
      <c r="G180" s="20" t="n"/>
      <c r="H180" s="18" t="n"/>
      <c r="I180">
        <f>IF(AND($E180&lt;&gt;"",$B180='Oversikt'!$C$5,$C180='Elevkort'!$C$4),MAX(I$1:I179)+1,"")</f>
        <v/>
      </c>
    </row>
    <row r="181" ht="20" customHeight="1">
      <c r="A181" s="18" t="n"/>
      <c r="B181" s="18" t="n"/>
      <c r="C181" s="18" t="n"/>
      <c r="D181" s="18" t="n"/>
      <c r="E181" s="19" t="n"/>
      <c r="F181" s="18" t="n"/>
      <c r="G181" s="20" t="n"/>
      <c r="H181" s="18" t="n"/>
      <c r="I181">
        <f>IF(AND($E181&lt;&gt;"",$B181='Oversikt'!$C$5,$C181='Elevkort'!$C$4),MAX(I$1:I180)+1,"")</f>
        <v/>
      </c>
    </row>
    <row r="182" ht="20" customHeight="1">
      <c r="A182" s="18" t="n"/>
      <c r="B182" s="18" t="n"/>
      <c r="C182" s="18" t="n"/>
      <c r="D182" s="18" t="n"/>
      <c r="E182" s="19" t="n"/>
      <c r="F182" s="18" t="n"/>
      <c r="G182" s="20" t="n"/>
      <c r="H182" s="18" t="n"/>
      <c r="I182">
        <f>IF(AND($E182&lt;&gt;"",$B182='Oversikt'!$C$5,$C182='Elevkort'!$C$4),MAX(I$1:I181)+1,"")</f>
        <v/>
      </c>
    </row>
    <row r="183" ht="20" customHeight="1">
      <c r="A183" s="18" t="n"/>
      <c r="B183" s="18" t="n"/>
      <c r="C183" s="18" t="n"/>
      <c r="D183" s="18" t="n"/>
      <c r="E183" s="19" t="n"/>
      <c r="F183" s="18" t="n"/>
      <c r="G183" s="20" t="n"/>
      <c r="H183" s="18" t="n"/>
      <c r="I183">
        <f>IF(AND($E183&lt;&gt;"",$B183='Oversikt'!$C$5,$C183='Elevkort'!$C$4),MAX(I$1:I182)+1,"")</f>
        <v/>
      </c>
    </row>
    <row r="184" ht="20" customHeight="1">
      <c r="A184" s="18" t="n"/>
      <c r="B184" s="18" t="n"/>
      <c r="C184" s="18" t="n"/>
      <c r="D184" s="18" t="n"/>
      <c r="E184" s="19" t="n"/>
      <c r="F184" s="18" t="n"/>
      <c r="G184" s="20" t="n"/>
      <c r="H184" s="18" t="n"/>
      <c r="I184">
        <f>IF(AND($E184&lt;&gt;"",$B184='Oversikt'!$C$5,$C184='Elevkort'!$C$4),MAX(I$1:I183)+1,"")</f>
        <v/>
      </c>
    </row>
    <row r="185" ht="20" customHeight="1">
      <c r="A185" s="18" t="n"/>
      <c r="B185" s="18" t="n"/>
      <c r="C185" s="18" t="n"/>
      <c r="D185" s="18" t="n"/>
      <c r="E185" s="19" t="n"/>
      <c r="F185" s="18" t="n"/>
      <c r="G185" s="20" t="n"/>
      <c r="H185" s="18" t="n"/>
      <c r="I185">
        <f>IF(AND($E185&lt;&gt;"",$B185='Oversikt'!$C$5,$C185='Elevkort'!$C$4),MAX(I$1:I184)+1,"")</f>
        <v/>
      </c>
    </row>
    <row r="186" ht="20" customHeight="1">
      <c r="A186" s="18" t="n"/>
      <c r="B186" s="18" t="n"/>
      <c r="C186" s="18" t="n"/>
      <c r="D186" s="18" t="n"/>
      <c r="E186" s="19" t="n"/>
      <c r="F186" s="18" t="n"/>
      <c r="G186" s="20" t="n"/>
      <c r="H186" s="18" t="n"/>
      <c r="I186">
        <f>IF(AND($E186&lt;&gt;"",$B186='Oversikt'!$C$5,$C186='Elevkort'!$C$4),MAX(I$1:I185)+1,"")</f>
        <v/>
      </c>
    </row>
    <row r="187" ht="20" customHeight="1">
      <c r="A187" s="18" t="n"/>
      <c r="B187" s="18" t="n"/>
      <c r="C187" s="18" t="n"/>
      <c r="D187" s="18" t="n"/>
      <c r="E187" s="19" t="n"/>
      <c r="F187" s="18" t="n"/>
      <c r="G187" s="20" t="n"/>
      <c r="H187" s="18" t="n"/>
      <c r="I187">
        <f>IF(AND($E187&lt;&gt;"",$B187='Oversikt'!$C$5,$C187='Elevkort'!$C$4),MAX(I$1:I186)+1,"")</f>
        <v/>
      </c>
    </row>
    <row r="188" ht="20" customHeight="1">
      <c r="A188" s="18" t="n"/>
      <c r="B188" s="18" t="n"/>
      <c r="C188" s="18" t="n"/>
      <c r="D188" s="18" t="n"/>
      <c r="E188" s="19" t="n"/>
      <c r="F188" s="18" t="n"/>
      <c r="G188" s="20" t="n"/>
      <c r="H188" s="18" t="n"/>
      <c r="I188">
        <f>IF(AND($E188&lt;&gt;"",$B188='Oversikt'!$C$5,$C188='Elevkort'!$C$4),MAX(I$1:I187)+1,"")</f>
        <v/>
      </c>
    </row>
    <row r="189" ht="20" customHeight="1">
      <c r="A189" s="18" t="n"/>
      <c r="B189" s="18" t="n"/>
      <c r="C189" s="18" t="n"/>
      <c r="D189" s="18" t="n"/>
      <c r="E189" s="19" t="n"/>
      <c r="F189" s="18" t="n"/>
      <c r="G189" s="20" t="n"/>
      <c r="H189" s="18" t="n"/>
      <c r="I189">
        <f>IF(AND($E189&lt;&gt;"",$B189='Oversikt'!$C$5,$C189='Elevkort'!$C$4),MAX(I$1:I188)+1,"")</f>
        <v/>
      </c>
    </row>
    <row r="190" ht="20" customHeight="1">
      <c r="A190" s="18" t="n"/>
      <c r="B190" s="18" t="n"/>
      <c r="C190" s="18" t="n"/>
      <c r="D190" s="18" t="n"/>
      <c r="E190" s="19" t="n"/>
      <c r="F190" s="18" t="n"/>
      <c r="G190" s="20" t="n"/>
      <c r="H190" s="18" t="n"/>
      <c r="I190">
        <f>IF(AND($E190&lt;&gt;"",$B190='Oversikt'!$C$5,$C190='Elevkort'!$C$4),MAX(I$1:I189)+1,"")</f>
        <v/>
      </c>
    </row>
    <row r="191" ht="20" customHeight="1">
      <c r="A191" s="18" t="n"/>
      <c r="B191" s="18" t="n"/>
      <c r="C191" s="18" t="n"/>
      <c r="D191" s="18" t="n"/>
      <c r="E191" s="19" t="n"/>
      <c r="F191" s="18" t="n"/>
      <c r="G191" s="20" t="n"/>
      <c r="H191" s="18" t="n"/>
      <c r="I191">
        <f>IF(AND($E191&lt;&gt;"",$B191='Oversikt'!$C$5,$C191='Elevkort'!$C$4),MAX(I$1:I190)+1,"")</f>
        <v/>
      </c>
    </row>
    <row r="192" ht="20" customHeight="1">
      <c r="A192" s="18" t="n"/>
      <c r="B192" s="18" t="n"/>
      <c r="C192" s="18" t="n"/>
      <c r="D192" s="18" t="n"/>
      <c r="E192" s="19" t="n"/>
      <c r="F192" s="18" t="n"/>
      <c r="G192" s="20" t="n"/>
      <c r="H192" s="18" t="n"/>
      <c r="I192">
        <f>IF(AND($E192&lt;&gt;"",$B192='Oversikt'!$C$5,$C192='Elevkort'!$C$4),MAX(I$1:I191)+1,"")</f>
        <v/>
      </c>
    </row>
    <row r="193" ht="20" customHeight="1">
      <c r="A193" s="18" t="n"/>
      <c r="B193" s="18" t="n"/>
      <c r="C193" s="18" t="n"/>
      <c r="D193" s="18" t="n"/>
      <c r="E193" s="19" t="n"/>
      <c r="F193" s="18" t="n"/>
      <c r="G193" s="20" t="n"/>
      <c r="H193" s="18" t="n"/>
      <c r="I193">
        <f>IF(AND($E193&lt;&gt;"",$B193='Oversikt'!$C$5,$C193='Elevkort'!$C$4),MAX(I$1:I192)+1,"")</f>
        <v/>
      </c>
    </row>
    <row r="194" ht="20" customHeight="1">
      <c r="A194" s="18" t="n"/>
      <c r="B194" s="18" t="n"/>
      <c r="C194" s="18" t="n"/>
      <c r="D194" s="18" t="n"/>
      <c r="E194" s="19" t="n"/>
      <c r="F194" s="18" t="n"/>
      <c r="G194" s="20" t="n"/>
      <c r="H194" s="18" t="n"/>
      <c r="I194">
        <f>IF(AND($E194&lt;&gt;"",$B194='Oversikt'!$C$5,$C194='Elevkort'!$C$4),MAX(I$1:I193)+1,"")</f>
        <v/>
      </c>
    </row>
    <row r="195" ht="20" customHeight="1">
      <c r="A195" s="18" t="n"/>
      <c r="B195" s="18" t="n"/>
      <c r="C195" s="18" t="n"/>
      <c r="D195" s="18" t="n"/>
      <c r="E195" s="19" t="n"/>
      <c r="F195" s="18" t="n"/>
      <c r="G195" s="20" t="n"/>
      <c r="H195" s="18" t="n"/>
      <c r="I195">
        <f>IF(AND($E195&lt;&gt;"",$B195='Oversikt'!$C$5,$C195='Elevkort'!$C$4),MAX(I$1:I194)+1,"")</f>
        <v/>
      </c>
    </row>
    <row r="196" ht="20" customHeight="1">
      <c r="A196" s="18" t="n"/>
      <c r="B196" s="18" t="n"/>
      <c r="C196" s="18" t="n"/>
      <c r="D196" s="18" t="n"/>
      <c r="E196" s="19" t="n"/>
      <c r="F196" s="18" t="n"/>
      <c r="G196" s="20" t="n"/>
      <c r="H196" s="18" t="n"/>
      <c r="I196">
        <f>IF(AND($E196&lt;&gt;"",$B196='Oversikt'!$C$5,$C196='Elevkort'!$C$4),MAX(I$1:I195)+1,"")</f>
        <v/>
      </c>
    </row>
    <row r="197" ht="20" customHeight="1">
      <c r="A197" s="18" t="n"/>
      <c r="B197" s="18" t="n"/>
      <c r="C197" s="18" t="n"/>
      <c r="D197" s="18" t="n"/>
      <c r="E197" s="19" t="n"/>
      <c r="F197" s="18" t="n"/>
      <c r="G197" s="20" t="n"/>
      <c r="H197" s="18" t="n"/>
      <c r="I197">
        <f>IF(AND($E197&lt;&gt;"",$B197='Oversikt'!$C$5,$C197='Elevkort'!$C$4),MAX(I$1:I196)+1,"")</f>
        <v/>
      </c>
    </row>
    <row r="198" ht="20" customHeight="1">
      <c r="A198" s="18" t="n"/>
      <c r="B198" s="18" t="n"/>
      <c r="C198" s="18" t="n"/>
      <c r="D198" s="18" t="n"/>
      <c r="E198" s="19" t="n"/>
      <c r="F198" s="18" t="n"/>
      <c r="G198" s="20" t="n"/>
      <c r="H198" s="18" t="n"/>
      <c r="I198">
        <f>IF(AND($E198&lt;&gt;"",$B198='Oversikt'!$C$5,$C198='Elevkort'!$C$4),MAX(I$1:I197)+1,"")</f>
        <v/>
      </c>
    </row>
    <row r="199" ht="20" customHeight="1">
      <c r="A199" s="18" t="n"/>
      <c r="B199" s="18" t="n"/>
      <c r="C199" s="18" t="n"/>
      <c r="D199" s="18" t="n"/>
      <c r="E199" s="19" t="n"/>
      <c r="F199" s="18" t="n"/>
      <c r="G199" s="20" t="n"/>
      <c r="H199" s="18" t="n"/>
      <c r="I199">
        <f>IF(AND($E199&lt;&gt;"",$B199='Oversikt'!$C$5,$C199='Elevkort'!$C$4),MAX(I$1:I198)+1,"")</f>
        <v/>
      </c>
    </row>
    <row r="200" ht="20" customHeight="1">
      <c r="A200" s="18" t="n"/>
      <c r="B200" s="18" t="n"/>
      <c r="C200" s="18" t="n"/>
      <c r="D200" s="18" t="n"/>
      <c r="E200" s="19" t="n"/>
      <c r="F200" s="18" t="n"/>
      <c r="G200" s="20" t="n"/>
      <c r="H200" s="18" t="n"/>
      <c r="I200">
        <f>IF(AND($E200&lt;&gt;"",$B200='Oversikt'!$C$5,$C200='Elevkort'!$C$4),MAX(I$1:I199)+1,"")</f>
        <v/>
      </c>
    </row>
    <row r="201" ht="20" customHeight="1">
      <c r="A201" s="18" t="n"/>
      <c r="B201" s="18" t="n"/>
      <c r="C201" s="18" t="n"/>
      <c r="D201" s="18" t="n"/>
      <c r="E201" s="19" t="n"/>
      <c r="F201" s="18" t="n"/>
      <c r="G201" s="20" t="n"/>
      <c r="H201" s="18" t="n"/>
      <c r="I201">
        <f>IF(AND($E201&lt;&gt;"",$B201='Oversikt'!$C$5,$C201='Elevkort'!$C$4),MAX(I$1:I200)+1,"")</f>
        <v/>
      </c>
    </row>
    <row r="202" ht="20" customHeight="1">
      <c r="A202" s="18" t="n"/>
      <c r="B202" s="18" t="n"/>
      <c r="C202" s="18" t="n"/>
      <c r="D202" s="18" t="n"/>
      <c r="E202" s="19" t="n"/>
      <c r="F202" s="18" t="n"/>
      <c r="G202" s="20" t="n"/>
      <c r="H202" s="18" t="n"/>
      <c r="I202">
        <f>IF(AND($E202&lt;&gt;"",$B202='Oversikt'!$C$5,$C202='Elevkort'!$C$4),MAX(I$1:I201)+1,"")</f>
        <v/>
      </c>
    </row>
    <row r="203" ht="20" customHeight="1">
      <c r="A203" s="18" t="n"/>
      <c r="B203" s="18" t="n"/>
      <c r="C203" s="18" t="n"/>
      <c r="D203" s="18" t="n"/>
      <c r="E203" s="19" t="n"/>
      <c r="F203" s="18" t="n"/>
      <c r="G203" s="20" t="n"/>
      <c r="H203" s="18" t="n"/>
      <c r="I203">
        <f>IF(AND($E203&lt;&gt;"",$B203='Oversikt'!$C$5,$C203='Elevkort'!$C$4),MAX(I$1:I202)+1,"")</f>
        <v/>
      </c>
    </row>
    <row r="204" ht="20" customHeight="1">
      <c r="A204" s="18" t="n"/>
      <c r="B204" s="18" t="n"/>
      <c r="C204" s="18" t="n"/>
      <c r="D204" s="18" t="n"/>
      <c r="E204" s="19" t="n"/>
      <c r="F204" s="18" t="n"/>
      <c r="G204" s="20" t="n"/>
      <c r="H204" s="18" t="n"/>
      <c r="I204">
        <f>IF(AND($E204&lt;&gt;"",$B204='Oversikt'!$C$5,$C204='Elevkort'!$C$4),MAX(I$1:I203)+1,"")</f>
        <v/>
      </c>
    </row>
    <row r="205" ht="20" customHeight="1">
      <c r="A205" s="18" t="n"/>
      <c r="B205" s="18" t="n"/>
      <c r="C205" s="18" t="n"/>
      <c r="D205" s="18" t="n"/>
      <c r="E205" s="19" t="n"/>
      <c r="F205" s="18" t="n"/>
      <c r="G205" s="20" t="n"/>
      <c r="H205" s="18" t="n"/>
      <c r="I205">
        <f>IF(AND($E205&lt;&gt;"",$B205='Oversikt'!$C$5,$C205='Elevkort'!$C$4),MAX(I$1:I204)+1,"")</f>
        <v/>
      </c>
    </row>
    <row r="206" ht="20" customHeight="1">
      <c r="A206" s="18" t="n"/>
      <c r="B206" s="18" t="n"/>
      <c r="C206" s="18" t="n"/>
      <c r="D206" s="18" t="n"/>
      <c r="E206" s="19" t="n"/>
      <c r="F206" s="18" t="n"/>
      <c r="G206" s="20" t="n"/>
      <c r="H206" s="18" t="n"/>
      <c r="I206">
        <f>IF(AND($E206&lt;&gt;"",$B206='Oversikt'!$C$5,$C206='Elevkort'!$C$4),MAX(I$1:I205)+1,"")</f>
        <v/>
      </c>
    </row>
    <row r="207" ht="20" customHeight="1">
      <c r="A207" s="18" t="n"/>
      <c r="B207" s="18" t="n"/>
      <c r="C207" s="18" t="n"/>
      <c r="D207" s="18" t="n"/>
      <c r="E207" s="19" t="n"/>
      <c r="F207" s="18" t="n"/>
      <c r="G207" s="20" t="n"/>
      <c r="H207" s="18" t="n"/>
      <c r="I207">
        <f>IF(AND($E207&lt;&gt;"",$B207='Oversikt'!$C$5,$C207='Elevkort'!$C$4),MAX(I$1:I206)+1,"")</f>
        <v/>
      </c>
    </row>
    <row r="208" ht="20" customHeight="1">
      <c r="A208" s="18" t="n"/>
      <c r="B208" s="18" t="n"/>
      <c r="C208" s="18" t="n"/>
      <c r="D208" s="18" t="n"/>
      <c r="E208" s="19" t="n"/>
      <c r="F208" s="18" t="n"/>
      <c r="G208" s="20" t="n"/>
      <c r="H208" s="18" t="n"/>
      <c r="I208">
        <f>IF(AND($E208&lt;&gt;"",$B208='Oversikt'!$C$5,$C208='Elevkort'!$C$4),MAX(I$1:I207)+1,"")</f>
        <v/>
      </c>
    </row>
    <row r="209" ht="20" customHeight="1">
      <c r="A209" s="18" t="n"/>
      <c r="B209" s="18" t="n"/>
      <c r="C209" s="18" t="n"/>
      <c r="D209" s="18" t="n"/>
      <c r="E209" s="19" t="n"/>
      <c r="F209" s="18" t="n"/>
      <c r="G209" s="20" t="n"/>
      <c r="H209" s="18" t="n"/>
      <c r="I209">
        <f>IF(AND($E209&lt;&gt;"",$B209='Oversikt'!$C$5,$C209='Elevkort'!$C$4),MAX(I$1:I208)+1,"")</f>
        <v/>
      </c>
    </row>
    <row r="210" ht="20" customHeight="1">
      <c r="A210" s="18" t="n"/>
      <c r="B210" s="18" t="n"/>
      <c r="C210" s="18" t="n"/>
      <c r="D210" s="18" t="n"/>
      <c r="E210" s="19" t="n"/>
      <c r="F210" s="18" t="n"/>
      <c r="G210" s="20" t="n"/>
      <c r="H210" s="18" t="n"/>
      <c r="I210">
        <f>IF(AND($E210&lt;&gt;"",$B210='Oversikt'!$C$5,$C210='Elevkort'!$C$4),MAX(I$1:I209)+1,"")</f>
        <v/>
      </c>
    </row>
    <row r="211" ht="20" customHeight="1">
      <c r="A211" s="18" t="n"/>
      <c r="B211" s="18" t="n"/>
      <c r="C211" s="18" t="n"/>
      <c r="D211" s="18" t="n"/>
      <c r="E211" s="19" t="n"/>
      <c r="F211" s="18" t="n"/>
      <c r="G211" s="20" t="n"/>
      <c r="H211" s="18" t="n"/>
      <c r="I211">
        <f>IF(AND($E211&lt;&gt;"",$B211='Oversikt'!$C$5,$C211='Elevkort'!$C$4),MAX(I$1:I210)+1,"")</f>
        <v/>
      </c>
    </row>
    <row r="212" ht="20" customHeight="1">
      <c r="A212" s="18" t="n"/>
      <c r="B212" s="18" t="n"/>
      <c r="C212" s="18" t="n"/>
      <c r="D212" s="18" t="n"/>
      <c r="E212" s="19" t="n"/>
      <c r="F212" s="18" t="n"/>
      <c r="G212" s="20" t="n"/>
      <c r="H212" s="18" t="n"/>
      <c r="I212">
        <f>IF(AND($E212&lt;&gt;"",$B212='Oversikt'!$C$5,$C212='Elevkort'!$C$4),MAX(I$1:I211)+1,"")</f>
        <v/>
      </c>
    </row>
    <row r="213" ht="20" customHeight="1">
      <c r="A213" s="18" t="n"/>
      <c r="B213" s="18" t="n"/>
      <c r="C213" s="18" t="n"/>
      <c r="D213" s="18" t="n"/>
      <c r="E213" s="19" t="n"/>
      <c r="F213" s="18" t="n"/>
      <c r="G213" s="20" t="n"/>
      <c r="H213" s="18" t="n"/>
      <c r="I213">
        <f>IF(AND($E213&lt;&gt;"",$B213='Oversikt'!$C$5,$C213='Elevkort'!$C$4),MAX(I$1:I212)+1,"")</f>
        <v/>
      </c>
    </row>
    <row r="214" ht="20" customHeight="1">
      <c r="A214" s="18" t="n"/>
      <c r="B214" s="18" t="n"/>
      <c r="C214" s="18" t="n"/>
      <c r="D214" s="18" t="n"/>
      <c r="E214" s="19" t="n"/>
      <c r="F214" s="18" t="n"/>
      <c r="G214" s="20" t="n"/>
      <c r="H214" s="18" t="n"/>
      <c r="I214">
        <f>IF(AND($E214&lt;&gt;"",$B214='Oversikt'!$C$5,$C214='Elevkort'!$C$4),MAX(I$1:I213)+1,"")</f>
        <v/>
      </c>
    </row>
    <row r="215" ht="20" customHeight="1">
      <c r="A215" s="18" t="n"/>
      <c r="B215" s="18" t="n"/>
      <c r="C215" s="18" t="n"/>
      <c r="D215" s="18" t="n"/>
      <c r="E215" s="19" t="n"/>
      <c r="F215" s="18" t="n"/>
      <c r="G215" s="20" t="n"/>
      <c r="H215" s="18" t="n"/>
      <c r="I215">
        <f>IF(AND($E215&lt;&gt;"",$B215='Oversikt'!$C$5,$C215='Elevkort'!$C$4),MAX(I$1:I214)+1,"")</f>
        <v/>
      </c>
    </row>
    <row r="216" ht="20" customHeight="1">
      <c r="A216" s="18" t="n"/>
      <c r="B216" s="18" t="n"/>
      <c r="C216" s="18" t="n"/>
      <c r="D216" s="18" t="n"/>
      <c r="E216" s="19" t="n"/>
      <c r="F216" s="18" t="n"/>
      <c r="G216" s="20" t="n"/>
      <c r="H216" s="18" t="n"/>
      <c r="I216">
        <f>IF(AND($E216&lt;&gt;"",$B216='Oversikt'!$C$5,$C216='Elevkort'!$C$4),MAX(I$1:I215)+1,"")</f>
        <v/>
      </c>
    </row>
    <row r="217" ht="20" customHeight="1">
      <c r="A217" s="18" t="n"/>
      <c r="B217" s="18" t="n"/>
      <c r="C217" s="18" t="n"/>
      <c r="D217" s="18" t="n"/>
      <c r="E217" s="19" t="n"/>
      <c r="F217" s="18" t="n"/>
      <c r="G217" s="20" t="n"/>
      <c r="H217" s="18" t="n"/>
      <c r="I217">
        <f>IF(AND($E217&lt;&gt;"",$B217='Oversikt'!$C$5,$C217='Elevkort'!$C$4),MAX(I$1:I216)+1,"")</f>
        <v/>
      </c>
    </row>
    <row r="218" ht="20" customHeight="1">
      <c r="A218" s="18" t="n"/>
      <c r="B218" s="18" t="n"/>
      <c r="C218" s="18" t="n"/>
      <c r="D218" s="18" t="n"/>
      <c r="E218" s="19" t="n"/>
      <c r="F218" s="18" t="n"/>
      <c r="G218" s="20" t="n"/>
      <c r="H218" s="18" t="n"/>
      <c r="I218">
        <f>IF(AND($E218&lt;&gt;"",$B218='Oversikt'!$C$5,$C218='Elevkort'!$C$4),MAX(I$1:I217)+1,"")</f>
        <v/>
      </c>
    </row>
    <row r="219" ht="20" customHeight="1">
      <c r="A219" s="18" t="n"/>
      <c r="B219" s="18" t="n"/>
      <c r="C219" s="18" t="n"/>
      <c r="D219" s="18" t="n"/>
      <c r="E219" s="19" t="n"/>
      <c r="F219" s="18" t="n"/>
      <c r="G219" s="20" t="n"/>
      <c r="H219" s="18" t="n"/>
      <c r="I219">
        <f>IF(AND($E219&lt;&gt;"",$B219='Oversikt'!$C$5,$C219='Elevkort'!$C$4),MAX(I$1:I218)+1,"")</f>
        <v/>
      </c>
    </row>
    <row r="220" ht="20" customHeight="1">
      <c r="A220" s="18" t="n"/>
      <c r="B220" s="18" t="n"/>
      <c r="C220" s="18" t="n"/>
      <c r="D220" s="18" t="n"/>
      <c r="E220" s="19" t="n"/>
      <c r="F220" s="18" t="n"/>
      <c r="G220" s="20" t="n"/>
      <c r="H220" s="18" t="n"/>
      <c r="I220">
        <f>IF(AND($E220&lt;&gt;"",$B220='Oversikt'!$C$5,$C220='Elevkort'!$C$4),MAX(I$1:I219)+1,"")</f>
        <v/>
      </c>
    </row>
    <row r="221" ht="20" customHeight="1">
      <c r="A221" s="18" t="n"/>
      <c r="B221" s="18" t="n"/>
      <c r="C221" s="18" t="n"/>
      <c r="D221" s="18" t="n"/>
      <c r="E221" s="19" t="n"/>
      <c r="F221" s="18" t="n"/>
      <c r="G221" s="20" t="n"/>
      <c r="H221" s="18" t="n"/>
      <c r="I221">
        <f>IF(AND($E221&lt;&gt;"",$B221='Oversikt'!$C$5,$C221='Elevkort'!$C$4),MAX(I$1:I220)+1,"")</f>
        <v/>
      </c>
    </row>
    <row r="222" ht="20" customHeight="1">
      <c r="A222" s="18" t="n"/>
      <c r="B222" s="18" t="n"/>
      <c r="C222" s="18" t="n"/>
      <c r="D222" s="18" t="n"/>
      <c r="E222" s="19" t="n"/>
      <c r="F222" s="18" t="n"/>
      <c r="G222" s="20" t="n"/>
      <c r="H222" s="18" t="n"/>
      <c r="I222">
        <f>IF(AND($E222&lt;&gt;"",$B222='Oversikt'!$C$5,$C222='Elevkort'!$C$4),MAX(I$1:I221)+1,"")</f>
        <v/>
      </c>
    </row>
    <row r="223" ht="20" customHeight="1">
      <c r="A223" s="18" t="n"/>
      <c r="B223" s="18" t="n"/>
      <c r="C223" s="18" t="n"/>
      <c r="D223" s="18" t="n"/>
      <c r="E223" s="19" t="n"/>
      <c r="F223" s="18" t="n"/>
      <c r="G223" s="20" t="n"/>
      <c r="H223" s="18" t="n"/>
      <c r="I223">
        <f>IF(AND($E223&lt;&gt;"",$B223='Oversikt'!$C$5,$C223='Elevkort'!$C$4),MAX(I$1:I222)+1,"")</f>
        <v/>
      </c>
    </row>
    <row r="224" ht="20" customHeight="1">
      <c r="A224" s="18" t="n"/>
      <c r="B224" s="18" t="n"/>
      <c r="C224" s="18" t="n"/>
      <c r="D224" s="18" t="n"/>
      <c r="E224" s="19" t="n"/>
      <c r="F224" s="18" t="n"/>
      <c r="G224" s="20" t="n"/>
      <c r="H224" s="18" t="n"/>
      <c r="I224">
        <f>IF(AND($E224&lt;&gt;"",$B224='Oversikt'!$C$5,$C224='Elevkort'!$C$4),MAX(I$1:I223)+1,"")</f>
        <v/>
      </c>
    </row>
    <row r="225" ht="20" customHeight="1">
      <c r="A225" s="18" t="n"/>
      <c r="B225" s="18" t="n"/>
      <c r="C225" s="18" t="n"/>
      <c r="D225" s="18" t="n"/>
      <c r="E225" s="19" t="n"/>
      <c r="F225" s="18" t="n"/>
      <c r="G225" s="20" t="n"/>
      <c r="H225" s="18" t="n"/>
      <c r="I225">
        <f>IF(AND($E225&lt;&gt;"",$B225='Oversikt'!$C$5,$C225='Elevkort'!$C$4),MAX(I$1:I224)+1,"")</f>
        <v/>
      </c>
    </row>
    <row r="226" ht="20" customHeight="1">
      <c r="A226" s="18" t="n"/>
      <c r="B226" s="18" t="n"/>
      <c r="C226" s="18" t="n"/>
      <c r="D226" s="18" t="n"/>
      <c r="E226" s="19" t="n"/>
      <c r="F226" s="18" t="n"/>
      <c r="G226" s="20" t="n"/>
      <c r="H226" s="18" t="n"/>
      <c r="I226">
        <f>IF(AND($E226&lt;&gt;"",$B226='Oversikt'!$C$5,$C226='Elevkort'!$C$4),MAX(I$1:I225)+1,"")</f>
        <v/>
      </c>
    </row>
    <row r="227" ht="20" customHeight="1">
      <c r="A227" s="18" t="n"/>
      <c r="B227" s="18" t="n"/>
      <c r="C227" s="18" t="n"/>
      <c r="D227" s="18" t="n"/>
      <c r="E227" s="19" t="n"/>
      <c r="F227" s="18" t="n"/>
      <c r="G227" s="20" t="n"/>
      <c r="H227" s="18" t="n"/>
      <c r="I227">
        <f>IF(AND($E227&lt;&gt;"",$B227='Oversikt'!$C$5,$C227='Elevkort'!$C$4),MAX(I$1:I226)+1,"")</f>
        <v/>
      </c>
    </row>
    <row r="228" ht="20" customHeight="1">
      <c r="A228" s="18" t="n"/>
      <c r="B228" s="18" t="n"/>
      <c r="C228" s="18" t="n"/>
      <c r="D228" s="18" t="n"/>
      <c r="E228" s="19" t="n"/>
      <c r="F228" s="18" t="n"/>
      <c r="G228" s="20" t="n"/>
      <c r="H228" s="18" t="n"/>
      <c r="I228">
        <f>IF(AND($E228&lt;&gt;"",$B228='Oversikt'!$C$5,$C228='Elevkort'!$C$4),MAX(I$1:I227)+1,"")</f>
        <v/>
      </c>
    </row>
    <row r="229" ht="20" customHeight="1">
      <c r="A229" s="18" t="n"/>
      <c r="B229" s="18" t="n"/>
      <c r="C229" s="18" t="n"/>
      <c r="D229" s="18" t="n"/>
      <c r="E229" s="19" t="n"/>
      <c r="F229" s="18" t="n"/>
      <c r="G229" s="20" t="n"/>
      <c r="H229" s="18" t="n"/>
      <c r="I229">
        <f>IF(AND($E229&lt;&gt;"",$B229='Oversikt'!$C$5,$C229='Elevkort'!$C$4),MAX(I$1:I228)+1,"")</f>
        <v/>
      </c>
    </row>
    <row r="230" ht="20" customHeight="1">
      <c r="A230" s="18" t="n"/>
      <c r="B230" s="18" t="n"/>
      <c r="C230" s="18" t="n"/>
      <c r="D230" s="18" t="n"/>
      <c r="E230" s="19" t="n"/>
      <c r="F230" s="18" t="n"/>
      <c r="G230" s="20" t="n"/>
      <c r="H230" s="18" t="n"/>
      <c r="I230">
        <f>IF(AND($E230&lt;&gt;"",$B230='Oversikt'!$C$5,$C230='Elevkort'!$C$4),MAX(I$1:I229)+1,"")</f>
        <v/>
      </c>
    </row>
    <row r="231" ht="20" customHeight="1">
      <c r="A231" s="18" t="n"/>
      <c r="B231" s="18" t="n"/>
      <c r="C231" s="18" t="n"/>
      <c r="D231" s="18" t="n"/>
      <c r="E231" s="19" t="n"/>
      <c r="F231" s="18" t="n"/>
      <c r="G231" s="20" t="n"/>
      <c r="H231" s="18" t="n"/>
      <c r="I231">
        <f>IF(AND($E231&lt;&gt;"",$B231='Oversikt'!$C$5,$C231='Elevkort'!$C$4),MAX(I$1:I230)+1,"")</f>
        <v/>
      </c>
    </row>
    <row r="232" ht="20" customHeight="1">
      <c r="A232" s="18" t="n"/>
      <c r="B232" s="18" t="n"/>
      <c r="C232" s="18" t="n"/>
      <c r="D232" s="18" t="n"/>
      <c r="E232" s="19" t="n"/>
      <c r="F232" s="18" t="n"/>
      <c r="G232" s="20" t="n"/>
      <c r="H232" s="18" t="n"/>
      <c r="I232">
        <f>IF(AND($E232&lt;&gt;"",$B232='Oversikt'!$C$5,$C232='Elevkort'!$C$4),MAX(I$1:I231)+1,"")</f>
        <v/>
      </c>
    </row>
    <row r="233" ht="20" customHeight="1">
      <c r="A233" s="18" t="n"/>
      <c r="B233" s="18" t="n"/>
      <c r="C233" s="18" t="n"/>
      <c r="D233" s="18" t="n"/>
      <c r="E233" s="19" t="n"/>
      <c r="F233" s="18" t="n"/>
      <c r="G233" s="20" t="n"/>
      <c r="H233" s="18" t="n"/>
      <c r="I233">
        <f>IF(AND($E233&lt;&gt;"",$B233='Oversikt'!$C$5,$C233='Elevkort'!$C$4),MAX(I$1:I232)+1,"")</f>
        <v/>
      </c>
    </row>
    <row r="234" ht="20" customHeight="1">
      <c r="A234" s="18" t="n"/>
      <c r="B234" s="18" t="n"/>
      <c r="C234" s="18" t="n"/>
      <c r="D234" s="18" t="n"/>
      <c r="E234" s="19" t="n"/>
      <c r="F234" s="18" t="n"/>
      <c r="G234" s="20" t="n"/>
      <c r="H234" s="18" t="n"/>
      <c r="I234">
        <f>IF(AND($E234&lt;&gt;"",$B234='Oversikt'!$C$5,$C234='Elevkort'!$C$4),MAX(I$1:I233)+1,"")</f>
        <v/>
      </c>
    </row>
    <row r="235" ht="20" customHeight="1">
      <c r="A235" s="18" t="n"/>
      <c r="B235" s="18" t="n"/>
      <c r="C235" s="18" t="n"/>
      <c r="D235" s="18" t="n"/>
      <c r="E235" s="19" t="n"/>
      <c r="F235" s="18" t="n"/>
      <c r="G235" s="20" t="n"/>
      <c r="H235" s="18" t="n"/>
      <c r="I235">
        <f>IF(AND($E235&lt;&gt;"",$B235='Oversikt'!$C$5,$C235='Elevkort'!$C$4),MAX(I$1:I234)+1,"")</f>
        <v/>
      </c>
    </row>
    <row r="236" ht="20" customHeight="1">
      <c r="A236" s="18" t="n"/>
      <c r="B236" s="18" t="n"/>
      <c r="C236" s="18" t="n"/>
      <c r="D236" s="18" t="n"/>
      <c r="E236" s="19" t="n"/>
      <c r="F236" s="18" t="n"/>
      <c r="G236" s="20" t="n"/>
      <c r="H236" s="18" t="n"/>
      <c r="I236">
        <f>IF(AND($E236&lt;&gt;"",$B236='Oversikt'!$C$5,$C236='Elevkort'!$C$4),MAX(I$1:I235)+1,"")</f>
        <v/>
      </c>
    </row>
    <row r="237" ht="20" customHeight="1">
      <c r="A237" s="18" t="n"/>
      <c r="B237" s="18" t="n"/>
      <c r="C237" s="18" t="n"/>
      <c r="D237" s="18" t="n"/>
      <c r="E237" s="19" t="n"/>
      <c r="F237" s="18" t="n"/>
      <c r="G237" s="20" t="n"/>
      <c r="H237" s="18" t="n"/>
      <c r="I237">
        <f>IF(AND($E237&lt;&gt;"",$B237='Oversikt'!$C$5,$C237='Elevkort'!$C$4),MAX(I$1:I236)+1,"")</f>
        <v/>
      </c>
    </row>
    <row r="238" ht="20" customHeight="1">
      <c r="A238" s="18" t="n"/>
      <c r="B238" s="18" t="n"/>
      <c r="C238" s="18" t="n"/>
      <c r="D238" s="18" t="n"/>
      <c r="E238" s="19" t="n"/>
      <c r="F238" s="18" t="n"/>
      <c r="G238" s="20" t="n"/>
      <c r="H238" s="18" t="n"/>
      <c r="I238">
        <f>IF(AND($E238&lt;&gt;"",$B238='Oversikt'!$C$5,$C238='Elevkort'!$C$4),MAX(I$1:I237)+1,"")</f>
        <v/>
      </c>
    </row>
    <row r="239" ht="20" customHeight="1">
      <c r="A239" s="18" t="n"/>
      <c r="B239" s="18" t="n"/>
      <c r="C239" s="18" t="n"/>
      <c r="D239" s="18" t="n"/>
      <c r="E239" s="19" t="n"/>
      <c r="F239" s="18" t="n"/>
      <c r="G239" s="20" t="n"/>
      <c r="H239" s="18" t="n"/>
      <c r="I239">
        <f>IF(AND($E239&lt;&gt;"",$B239='Oversikt'!$C$5,$C239='Elevkort'!$C$4),MAX(I$1:I238)+1,"")</f>
        <v/>
      </c>
    </row>
    <row r="240" ht="20" customHeight="1">
      <c r="A240" s="18" t="n"/>
      <c r="B240" s="18" t="n"/>
      <c r="C240" s="18" t="n"/>
      <c r="D240" s="18" t="n"/>
      <c r="E240" s="19" t="n"/>
      <c r="F240" s="18" t="n"/>
      <c r="G240" s="20" t="n"/>
      <c r="H240" s="18" t="n"/>
      <c r="I240">
        <f>IF(AND($E240&lt;&gt;"",$B240='Oversikt'!$C$5,$C240='Elevkort'!$C$4),MAX(I$1:I239)+1,"")</f>
        <v/>
      </c>
    </row>
    <row r="241" ht="20" customHeight="1">
      <c r="A241" s="18" t="n"/>
      <c r="B241" s="18" t="n"/>
      <c r="C241" s="18" t="n"/>
      <c r="D241" s="18" t="n"/>
      <c r="E241" s="19" t="n"/>
      <c r="F241" s="18" t="n"/>
      <c r="G241" s="20" t="n"/>
      <c r="H241" s="18" t="n"/>
      <c r="I241">
        <f>IF(AND($E241&lt;&gt;"",$B241='Oversikt'!$C$5,$C241='Elevkort'!$C$4),MAX(I$1:I240)+1,"")</f>
        <v/>
      </c>
    </row>
    <row r="242" ht="20" customHeight="1">
      <c r="A242" s="18" t="n"/>
      <c r="B242" s="18" t="n"/>
      <c r="C242" s="18" t="n"/>
      <c r="D242" s="18" t="n"/>
      <c r="E242" s="19" t="n"/>
      <c r="F242" s="18" t="n"/>
      <c r="G242" s="20" t="n"/>
      <c r="H242" s="18" t="n"/>
      <c r="I242">
        <f>IF(AND($E242&lt;&gt;"",$B242='Oversikt'!$C$5,$C242='Elevkort'!$C$4),MAX(I$1:I241)+1,"")</f>
        <v/>
      </c>
    </row>
    <row r="243" ht="20" customHeight="1">
      <c r="A243" s="18" t="n"/>
      <c r="B243" s="18" t="n"/>
      <c r="C243" s="18" t="n"/>
      <c r="D243" s="18" t="n"/>
      <c r="E243" s="19" t="n"/>
      <c r="F243" s="18" t="n"/>
      <c r="G243" s="20" t="n"/>
      <c r="H243" s="18" t="n"/>
      <c r="I243">
        <f>IF(AND($E243&lt;&gt;"",$B243='Oversikt'!$C$5,$C243='Elevkort'!$C$4),MAX(I$1:I242)+1,"")</f>
        <v/>
      </c>
    </row>
    <row r="244" ht="20" customHeight="1">
      <c r="A244" s="18" t="n"/>
      <c r="B244" s="18" t="n"/>
      <c r="C244" s="18" t="n"/>
      <c r="D244" s="18" t="n"/>
      <c r="E244" s="19" t="n"/>
      <c r="F244" s="18" t="n"/>
      <c r="G244" s="20" t="n"/>
      <c r="H244" s="18" t="n"/>
      <c r="I244">
        <f>IF(AND($E244&lt;&gt;"",$B244='Oversikt'!$C$5,$C244='Elevkort'!$C$4),MAX(I$1:I243)+1,"")</f>
        <v/>
      </c>
    </row>
    <row r="245" ht="20" customHeight="1">
      <c r="A245" s="18" t="n"/>
      <c r="B245" s="18" t="n"/>
      <c r="C245" s="18" t="n"/>
      <c r="D245" s="18" t="n"/>
      <c r="E245" s="19" t="n"/>
      <c r="F245" s="18" t="n"/>
      <c r="G245" s="20" t="n"/>
      <c r="H245" s="18" t="n"/>
      <c r="I245">
        <f>IF(AND($E245&lt;&gt;"",$B245='Oversikt'!$C$5,$C245='Elevkort'!$C$4),MAX(I$1:I244)+1,"")</f>
        <v/>
      </c>
    </row>
    <row r="246" ht="20" customHeight="1">
      <c r="A246" s="18" t="n"/>
      <c r="B246" s="18" t="n"/>
      <c r="C246" s="18" t="n"/>
      <c r="D246" s="18" t="n"/>
      <c r="E246" s="19" t="n"/>
      <c r="F246" s="18" t="n"/>
      <c r="G246" s="20" t="n"/>
      <c r="H246" s="18" t="n"/>
      <c r="I246">
        <f>IF(AND($E246&lt;&gt;"",$B246='Oversikt'!$C$5,$C246='Elevkort'!$C$4),MAX(I$1:I245)+1,"")</f>
        <v/>
      </c>
    </row>
    <row r="247" ht="20" customHeight="1">
      <c r="A247" s="18" t="n"/>
      <c r="B247" s="18" t="n"/>
      <c r="C247" s="18" t="n"/>
      <c r="D247" s="18" t="n"/>
      <c r="E247" s="19" t="n"/>
      <c r="F247" s="18" t="n"/>
      <c r="G247" s="20" t="n"/>
      <c r="H247" s="18" t="n"/>
      <c r="I247">
        <f>IF(AND($E247&lt;&gt;"",$B247='Oversikt'!$C$5,$C247='Elevkort'!$C$4),MAX(I$1:I246)+1,"")</f>
        <v/>
      </c>
    </row>
    <row r="248" ht="20" customHeight="1">
      <c r="A248" s="18" t="n"/>
      <c r="B248" s="18" t="n"/>
      <c r="C248" s="18" t="n"/>
      <c r="D248" s="18" t="n"/>
      <c r="E248" s="19" t="n"/>
      <c r="F248" s="18" t="n"/>
      <c r="G248" s="20" t="n"/>
      <c r="H248" s="18" t="n"/>
      <c r="I248">
        <f>IF(AND($E248&lt;&gt;"",$B248='Oversikt'!$C$5,$C248='Elevkort'!$C$4),MAX(I$1:I247)+1,"")</f>
        <v/>
      </c>
    </row>
    <row r="249" ht="20" customHeight="1">
      <c r="A249" s="18" t="n"/>
      <c r="B249" s="18" t="n"/>
      <c r="C249" s="18" t="n"/>
      <c r="D249" s="18" t="n"/>
      <c r="E249" s="19" t="n"/>
      <c r="F249" s="18" t="n"/>
      <c r="G249" s="20" t="n"/>
      <c r="H249" s="18" t="n"/>
      <c r="I249">
        <f>IF(AND($E249&lt;&gt;"",$B249='Oversikt'!$C$5,$C249='Elevkort'!$C$4),MAX(I$1:I248)+1,"")</f>
        <v/>
      </c>
    </row>
    <row r="250" ht="20" customHeight="1">
      <c r="A250" s="18" t="n"/>
      <c r="B250" s="18" t="n"/>
      <c r="C250" s="18" t="n"/>
      <c r="D250" s="18" t="n"/>
      <c r="E250" s="19" t="n"/>
      <c r="F250" s="18" t="n"/>
      <c r="G250" s="20" t="n"/>
      <c r="H250" s="18" t="n"/>
      <c r="I250">
        <f>IF(AND($E250&lt;&gt;"",$B250='Oversikt'!$C$5,$C250='Elevkort'!$C$4),MAX(I$1:I249)+1,"")</f>
        <v/>
      </c>
    </row>
    <row r="251" ht="20" customHeight="1">
      <c r="A251" s="18" t="n"/>
      <c r="B251" s="18" t="n"/>
      <c r="C251" s="18" t="n"/>
      <c r="D251" s="18" t="n"/>
      <c r="E251" s="19" t="n"/>
      <c r="F251" s="18" t="n"/>
      <c r="G251" s="20" t="n"/>
      <c r="H251" s="18" t="n"/>
      <c r="I251">
        <f>IF(AND($E251&lt;&gt;"",$B251='Oversikt'!$C$5,$C251='Elevkort'!$C$4),MAX(I$1:I250)+1,"")</f>
        <v/>
      </c>
    </row>
  </sheetData>
  <autoFilter ref="A1:H251"/>
  <conditionalFormatting sqref="G2:G251">
    <cfRule type="expression" priority="1" dxfId="2">
      <formula>AND($G2&lt;&gt;"",$G2&lt;TODAY(),NOT(OR(EXACT($H2,"Avslutta"),EXACT($H2,"Avsluttet"))))</formula>
    </cfRule>
  </conditionalFormatting>
  <conditionalFormatting sqref="A2:H251">
    <cfRule type="expression" priority="2" dxfId="8">
      <formula>OR(EXACT($H2,"Avslutta"),EXACT($H2,"Avsluttet"))</formula>
    </cfRule>
    <cfRule type="expression" priority="3" dxfId="6">
      <formula>AND($B2&lt;&gt;"",$B2&lt;&gt;$B1)</formula>
    </cfRule>
    <cfRule type="expression" priority="4" dxfId="7">
      <formula>AND($A2&lt;&gt;"",$A2&lt;&gt;$A1)</formula>
    </cfRule>
  </conditionalFormatting>
  <dataValidations count="5">
    <dataValidation sqref="A2:A251" showDropDown="0" showInputMessage="1" showErrorMessage="0" allowBlank="1" promptTitle="Velg fra lista" prompt="Møtet tiltaket ble bestemt på." type="list">
      <formula1>Moter</formula1>
    </dataValidation>
    <dataValidation sqref="B2:B251" showDropDown="0" showInputMessage="1" showErrorMessage="0" allowBlank="1" promptTitle="Velg fra lista" prompt="Klassen eleven går i." type="list">
      <formula1>Klasser</formula1>
    </dataValidation>
    <dataValidation sqref="C2:C251" showDropDown="0" showInputMessage="1" showErrorMessage="0" allowBlank="1" promptTitle="Velg fra lista" prompt="Eleven. Velg klasse først." type="list">
      <formula1>IFERROR(INDIRECT("ELEV_"&amp;SUBSTITUTE(SUBSTITUTE(SUBSTITUTE($B2,"/","_")," ","_"),"-","_")),VelKlasse)</formula1>
    </dataValidation>
    <dataValidation sqref="D2:D251" showDropDown="0" showInputMessage="1" showErrorMessage="0" allowBlank="1" promptTitle="Velg fra lista" prompt="Området tiltaket svarer på." type="list">
      <formula1>Omrader</formula1>
    </dataValidation>
    <dataValidation sqref="H2:H251" showDropDown="0" showInputMessage="1" showErrorMessage="0" allowBlank="1" promptTitle="Velg fra lista" prompt="Hvor langt er tiltaket kommet?" type="list">
      <formula1>Statusar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Q4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6" customWidth="1" min="3" max="3"/>
    <col width="6" customWidth="1" min="4" max="4"/>
    <col width="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hidden="1" width="15" customWidth="1" min="14" max="14"/>
    <col hidden="1" width="15" customWidth="1" min="15" max="15"/>
    <col hidden="1" width="15" customWidth="1" min="16" max="16"/>
    <col hidden="1" width="15" customWidth="1" min="17" max="17"/>
  </cols>
  <sheetData>
    <row r="2">
      <c r="B2" s="21" t="inlineStr">
        <is>
          <t>Elevstatus</t>
        </is>
      </c>
    </row>
    <row r="4" ht="30" customHeight="1">
      <c r="B4" s="6" t="inlineStr">
        <is>
          <t>Møte</t>
        </is>
      </c>
      <c r="C4" s="22" t="inlineStr">
        <is>
          <t>2 · Før jul</t>
        </is>
      </c>
      <c r="G4" s="23">
        <f>SUM(C9:C48)</f>
        <v/>
      </c>
      <c r="H4" s="24">
        <f>SUM(D9:D48)</f>
        <v/>
      </c>
      <c r="I4" s="25">
        <f>COUNTIF('Utrekning'!$E$2:$P$41,1)</f>
        <v/>
      </c>
      <c r="J4" s="26">
        <f>COUNTIF('Utrekning'!$C$2:$C$41,"&gt;=1")</f>
        <v/>
      </c>
      <c r="K4" s="26">
        <f>SUM(E9:E48)</f>
        <v/>
      </c>
    </row>
    <row r="5" ht="26" customHeight="1">
      <c r="B5" s="6" t="inlineStr">
        <is>
          <t>Klasse</t>
        </is>
      </c>
      <c r="C5" s="22" t="inlineStr">
        <is>
          <t>1ID</t>
        </is>
      </c>
      <c r="G5" s="27" t="inlineStr">
        <is>
          <t>raude</t>
        </is>
      </c>
      <c r="H5" s="28" t="inlineStr">
        <is>
          <t>gule</t>
        </is>
      </c>
      <c r="I5" s="29" t="inlineStr">
        <is>
          <t>grøne</t>
        </is>
      </c>
      <c r="J5" s="30" t="inlineStr">
        <is>
          <t>elevar med noko meldt inn</t>
        </is>
      </c>
      <c r="K5" s="30" t="inlineStr">
        <is>
          <t>Opne tiltak</t>
        </is>
      </c>
    </row>
    <row r="6" ht="22" customHeight="1">
      <c r="B6" s="6" t="inlineStr">
        <is>
          <t>Førre møte</t>
        </is>
      </c>
      <c r="C6" s="31">
        <f>IFERROR(IF(MATCH($C$4,'Oppsett'!$C$12:$C$31,0)&gt;1,INDEX('Oppsett'!$C$12:$C$31,MATCH($C$4,'Oppsett'!$C$12:$C$31,0)-1)&amp;"",""),"")</f>
        <v/>
      </c>
      <c r="G6" s="32" t="inlineStr">
        <is>
          <t>Sortert med mest raudt øvst. Elevar utan noko meldt inn står grått nedst.</t>
        </is>
      </c>
    </row>
    <row r="7">
      <c r="B7" s="33" t="inlineStr">
        <is>
          <t>● grønt   ▲ gult   ■ raudt   ·   2 = to lærarar har meldt inn   ·   ↑ verre enn førre møte   ↓ betre   ✱ ny sidan førre møte</t>
        </is>
      </c>
    </row>
    <row r="8" ht="34" customHeight="1">
      <c r="B8" s="34" t="inlineStr">
        <is>
          <t>Elev</t>
        </is>
      </c>
      <c r="C8" s="35" t="inlineStr">
        <is>
          <t>■</t>
        </is>
      </c>
      <c r="D8" s="35" t="inlineStr">
        <is>
          <t>▲</t>
        </is>
      </c>
      <c r="E8" s="35" t="inlineStr">
        <is>
          <t>Tiltak</t>
        </is>
      </c>
      <c r="F8" s="36">
        <f>'Oppsett'!$F$12&amp;""</f>
        <v/>
      </c>
      <c r="G8" s="36">
        <f>'Oppsett'!$F$13&amp;""</f>
        <v/>
      </c>
      <c r="H8" s="36">
        <f>'Oppsett'!$F$14&amp;""</f>
        <v/>
      </c>
      <c r="I8" s="36">
        <f>'Oppsett'!$F$15&amp;""</f>
        <v/>
      </c>
      <c r="J8" s="36">
        <f>'Oppsett'!$F$16&amp;""</f>
        <v/>
      </c>
      <c r="K8" s="36">
        <f>'Oppsett'!$F$17&amp;""</f>
        <v/>
      </c>
      <c r="L8" s="36">
        <f>'Oppsett'!$F$18&amp;""</f>
        <v/>
      </c>
      <c r="M8" s="36">
        <f>'Oppsett'!$F$19&amp;""</f>
        <v/>
      </c>
      <c r="N8" s="36">
        <f>'Oppsett'!$F$20&amp;""</f>
        <v/>
      </c>
      <c r="O8" s="36">
        <f>'Oppsett'!$F$21&amp;""</f>
        <v/>
      </c>
      <c r="P8" s="36">
        <f>'Oppsett'!$F$22&amp;""</f>
        <v/>
      </c>
      <c r="Q8" s="36">
        <f>'Oppsett'!$F$23&amp;""</f>
        <v/>
      </c>
    </row>
    <row r="9" ht="22" customHeight="1">
      <c r="B9" s="37">
        <f>IFERROR(INDEX('Utrekning'!$B$2:$B$41,'Utrekning'!$D$2),"")</f>
        <v/>
      </c>
      <c r="C9" s="38">
        <f>IF($B9="","",COUNTIF(INDEX('Utrekning'!$E$2:$P$41,'Utrekning'!$D$2,0),3))</f>
        <v/>
      </c>
      <c r="D9" s="38">
        <f>IF($B9="","",COUNTIF(INDEX('Utrekning'!$E$2:$P$41,'Utrekning'!$D$2,0),2))</f>
        <v/>
      </c>
      <c r="E9" s="38">
        <f>IF($B9="","",COUNTIFS('Tiltak'!$B$2:$B$251,$C$5,'Tiltak'!$C$2:$C$251,$B9,'Tiltak'!$E$2:$E$251,"&lt;&gt;",'Tiltak'!$H$2:$H$251,"&lt;&gt;Avslutta",'Tiltak'!$H$2:$H$251,"&lt;&gt;Avsluttet"))</f>
        <v/>
      </c>
      <c r="F9" s="39">
        <f>IF(OR($B9="",INDEX('Utrekning'!$E$2:$E$41,'Utrekning'!$D$2)=0),"",CHOOSE(INDEX('Utrekning'!$E$2:$E$41,'Utrekning'!$D$2),"●","▲","■")&amp;IF(INDEX('Utrekning'!$AC$2:$AC$41,'Utrekning'!$D$2)&gt;1," "&amp;INDEX('Utrekning'!$AC$2:$AC$41,'Utrekning'!$D$2),"")&amp;IF($C$6="","",IF(INDEX('Utrekning'!$Q$2:$Q$41,'Utrekning'!$D$2)=0," ✱",IF(INDEX('Utrekning'!$E$2:$E$41,'Utrekning'!$D$2)&gt;INDEX('Utrekning'!$Q$2:$Q$41,'Utrekning'!$D$2)," ↑",IF(INDEX('Utrekning'!$E$2:$E$41,'Utrekning'!$D$2)&lt;INDEX('Utrekning'!$Q$2:$Q$41,'Utrekning'!$D$2)," ↓","")))))</f>
        <v/>
      </c>
      <c r="G9" s="39">
        <f>IF(OR($B9="",INDEX('Utrekning'!$F$2:$F$41,'Utrekning'!$D$2)=0),"",CHOOSE(INDEX('Utrekning'!$F$2:$F$41,'Utrekning'!$D$2),"●","▲","■")&amp;IF(INDEX('Utrekning'!$AD$2:$AD$41,'Utrekning'!$D$2)&gt;1," "&amp;INDEX('Utrekning'!$AD$2:$AD$41,'Utrekning'!$D$2),"")&amp;IF($C$6="","",IF(INDEX('Utrekning'!$R$2:$R$41,'Utrekning'!$D$2)=0," ✱",IF(INDEX('Utrekning'!$F$2:$F$41,'Utrekning'!$D$2)&gt;INDEX('Utrekning'!$R$2:$R$41,'Utrekning'!$D$2)," ↑",IF(INDEX('Utrekning'!$F$2:$F$41,'Utrekning'!$D$2)&lt;INDEX('Utrekning'!$R$2:$R$41,'Utrekning'!$D$2)," ↓","")))))</f>
        <v/>
      </c>
      <c r="H9" s="39">
        <f>IF(OR($B9="",INDEX('Utrekning'!$G$2:$G$41,'Utrekning'!$D$2)=0),"",CHOOSE(INDEX('Utrekning'!$G$2:$G$41,'Utrekning'!$D$2),"●","▲","■")&amp;IF(INDEX('Utrekning'!$AE$2:$AE$41,'Utrekning'!$D$2)&gt;1," "&amp;INDEX('Utrekning'!$AE$2:$AE$41,'Utrekning'!$D$2),"")&amp;IF($C$6="","",IF(INDEX('Utrekning'!$S$2:$S$41,'Utrekning'!$D$2)=0," ✱",IF(INDEX('Utrekning'!$G$2:$G$41,'Utrekning'!$D$2)&gt;INDEX('Utrekning'!$S$2:$S$41,'Utrekning'!$D$2)," ↑",IF(INDEX('Utrekning'!$G$2:$G$41,'Utrekning'!$D$2)&lt;INDEX('Utrekning'!$S$2:$S$41,'Utrekning'!$D$2)," ↓","")))))</f>
        <v/>
      </c>
      <c r="I9" s="39">
        <f>IF(OR($B9="",INDEX('Utrekning'!$H$2:$H$41,'Utrekning'!$D$2)=0),"",CHOOSE(INDEX('Utrekning'!$H$2:$H$41,'Utrekning'!$D$2),"●","▲","■")&amp;IF(INDEX('Utrekning'!$AF$2:$AF$41,'Utrekning'!$D$2)&gt;1," "&amp;INDEX('Utrekning'!$AF$2:$AF$41,'Utrekning'!$D$2),"")&amp;IF($C$6="","",IF(INDEX('Utrekning'!$T$2:$T$41,'Utrekning'!$D$2)=0," ✱",IF(INDEX('Utrekning'!$H$2:$H$41,'Utrekning'!$D$2)&gt;INDEX('Utrekning'!$T$2:$T$41,'Utrekning'!$D$2)," ↑",IF(INDEX('Utrekning'!$H$2:$H$41,'Utrekning'!$D$2)&lt;INDEX('Utrekning'!$T$2:$T$41,'Utrekning'!$D$2)," ↓","")))))</f>
        <v/>
      </c>
      <c r="J9" s="39">
        <f>IF(OR($B9="",INDEX('Utrekning'!$I$2:$I$41,'Utrekning'!$D$2)=0),"",CHOOSE(INDEX('Utrekning'!$I$2:$I$41,'Utrekning'!$D$2),"●","▲","■")&amp;IF(INDEX('Utrekning'!$AG$2:$AG$41,'Utrekning'!$D$2)&gt;1," "&amp;INDEX('Utrekning'!$AG$2:$AG$41,'Utrekning'!$D$2),"")&amp;IF($C$6="","",IF(INDEX('Utrekning'!$U$2:$U$41,'Utrekning'!$D$2)=0," ✱",IF(INDEX('Utrekning'!$I$2:$I$41,'Utrekning'!$D$2)&gt;INDEX('Utrekning'!$U$2:$U$41,'Utrekning'!$D$2)," ↑",IF(INDEX('Utrekning'!$I$2:$I$41,'Utrekning'!$D$2)&lt;INDEX('Utrekning'!$U$2:$U$41,'Utrekning'!$D$2)," ↓","")))))</f>
        <v/>
      </c>
      <c r="K9" s="39">
        <f>IF(OR($B9="",INDEX('Utrekning'!$J$2:$J$41,'Utrekning'!$D$2)=0),"",CHOOSE(INDEX('Utrekning'!$J$2:$J$41,'Utrekning'!$D$2),"●","▲","■")&amp;IF(INDEX('Utrekning'!$AH$2:$AH$41,'Utrekning'!$D$2)&gt;1," "&amp;INDEX('Utrekning'!$AH$2:$AH$41,'Utrekning'!$D$2),"")&amp;IF($C$6="","",IF(INDEX('Utrekning'!$V$2:$V$41,'Utrekning'!$D$2)=0," ✱",IF(INDEX('Utrekning'!$J$2:$J$41,'Utrekning'!$D$2)&gt;INDEX('Utrekning'!$V$2:$V$41,'Utrekning'!$D$2)," ↑",IF(INDEX('Utrekning'!$J$2:$J$41,'Utrekning'!$D$2)&lt;INDEX('Utrekning'!$V$2:$V$41,'Utrekning'!$D$2)," ↓","")))))</f>
        <v/>
      </c>
      <c r="L9" s="39">
        <f>IF(OR($B9="",INDEX('Utrekning'!$K$2:$K$41,'Utrekning'!$D$2)=0),"",CHOOSE(INDEX('Utrekning'!$K$2:$K$41,'Utrekning'!$D$2),"●","▲","■")&amp;IF(INDEX('Utrekning'!$AI$2:$AI$41,'Utrekning'!$D$2)&gt;1," "&amp;INDEX('Utrekning'!$AI$2:$AI$41,'Utrekning'!$D$2),"")&amp;IF($C$6="","",IF(INDEX('Utrekning'!$W$2:$W$41,'Utrekning'!$D$2)=0," ✱",IF(INDEX('Utrekning'!$K$2:$K$41,'Utrekning'!$D$2)&gt;INDEX('Utrekning'!$W$2:$W$41,'Utrekning'!$D$2)," ↑",IF(INDEX('Utrekning'!$K$2:$K$41,'Utrekning'!$D$2)&lt;INDEX('Utrekning'!$W$2:$W$41,'Utrekning'!$D$2)," ↓","")))))</f>
        <v/>
      </c>
      <c r="M9" s="39">
        <f>IF(OR($B9="",INDEX('Utrekning'!$L$2:$L$41,'Utrekning'!$D$2)=0),"",CHOOSE(INDEX('Utrekning'!$L$2:$L$41,'Utrekning'!$D$2),"●","▲","■")&amp;IF(INDEX('Utrekning'!$AJ$2:$AJ$41,'Utrekning'!$D$2)&gt;1," "&amp;INDEX('Utrekning'!$AJ$2:$AJ$41,'Utrekning'!$D$2),"")&amp;IF($C$6="","",IF(INDEX('Utrekning'!$X$2:$X$41,'Utrekning'!$D$2)=0," ✱",IF(INDEX('Utrekning'!$L$2:$L$41,'Utrekning'!$D$2)&gt;INDEX('Utrekning'!$X$2:$X$41,'Utrekning'!$D$2)," ↑",IF(INDEX('Utrekning'!$L$2:$L$41,'Utrekning'!$D$2)&lt;INDEX('Utrekning'!$X$2:$X$41,'Utrekning'!$D$2)," ↓","")))))</f>
        <v/>
      </c>
      <c r="N9" s="39">
        <f>IF(OR($B9="",INDEX('Utrekning'!$M$2:$M$41,'Utrekning'!$D$2)=0),"",CHOOSE(INDEX('Utrekning'!$M$2:$M$41,'Utrekning'!$D$2),"●","▲","■")&amp;IF(INDEX('Utrekning'!$AK$2:$AK$41,'Utrekning'!$D$2)&gt;1," "&amp;INDEX('Utrekning'!$AK$2:$AK$41,'Utrekning'!$D$2),"")&amp;IF($C$6="","",IF(INDEX('Utrekning'!$Y$2:$Y$41,'Utrekning'!$D$2)=0," ✱",IF(INDEX('Utrekning'!$M$2:$M$41,'Utrekning'!$D$2)&gt;INDEX('Utrekning'!$Y$2:$Y$41,'Utrekning'!$D$2)," ↑",IF(INDEX('Utrekning'!$M$2:$M$41,'Utrekning'!$D$2)&lt;INDEX('Utrekning'!$Y$2:$Y$41,'Utrekning'!$D$2)," ↓","")))))</f>
        <v/>
      </c>
      <c r="O9" s="39">
        <f>IF(OR($B9="",INDEX('Utrekning'!$N$2:$N$41,'Utrekning'!$D$2)=0),"",CHOOSE(INDEX('Utrekning'!$N$2:$N$41,'Utrekning'!$D$2),"●","▲","■")&amp;IF(INDEX('Utrekning'!$AL$2:$AL$41,'Utrekning'!$D$2)&gt;1," "&amp;INDEX('Utrekning'!$AL$2:$AL$41,'Utrekning'!$D$2),"")&amp;IF($C$6="","",IF(INDEX('Utrekning'!$Z$2:$Z$41,'Utrekning'!$D$2)=0," ✱",IF(INDEX('Utrekning'!$N$2:$N$41,'Utrekning'!$D$2)&gt;INDEX('Utrekning'!$Z$2:$Z$41,'Utrekning'!$D$2)," ↑",IF(INDEX('Utrekning'!$N$2:$N$41,'Utrekning'!$D$2)&lt;INDEX('Utrekning'!$Z$2:$Z$41,'Utrekning'!$D$2)," ↓","")))))</f>
        <v/>
      </c>
      <c r="P9" s="39">
        <f>IF(OR($B9="",INDEX('Utrekning'!$O$2:$O$41,'Utrekning'!$D$2)=0),"",CHOOSE(INDEX('Utrekning'!$O$2:$O$41,'Utrekning'!$D$2),"●","▲","■")&amp;IF(INDEX('Utrekning'!$AM$2:$AM$41,'Utrekning'!$D$2)&gt;1," "&amp;INDEX('Utrekning'!$AM$2:$AM$41,'Utrekning'!$D$2),"")&amp;IF($C$6="","",IF(INDEX('Utrekning'!$AA$2:$AA$41,'Utrekning'!$D$2)=0," ✱",IF(INDEX('Utrekning'!$O$2:$O$41,'Utrekning'!$D$2)&gt;INDEX('Utrekning'!$AA$2:$AA$41,'Utrekning'!$D$2)," ↑",IF(INDEX('Utrekning'!$O$2:$O$41,'Utrekning'!$D$2)&lt;INDEX('Utrekning'!$AA$2:$AA$41,'Utrekning'!$D$2)," ↓","")))))</f>
        <v/>
      </c>
      <c r="Q9" s="39">
        <f>IF(OR($B9="",INDEX('Utrekning'!$P$2:$P$41,'Utrekning'!$D$2)=0),"",CHOOSE(INDEX('Utrekning'!$P$2:$P$41,'Utrekning'!$D$2),"●","▲","■")&amp;IF(INDEX('Utrekning'!$AN$2:$AN$41,'Utrekning'!$D$2)&gt;1," "&amp;INDEX('Utrekning'!$AN$2:$AN$41,'Utrekning'!$D$2),"")&amp;IF($C$6="","",IF(INDEX('Utrekning'!$AB$2:$AB$41,'Utrekning'!$D$2)=0," ✱",IF(INDEX('Utrekning'!$P$2:$P$41,'Utrekning'!$D$2)&gt;INDEX('Utrekning'!$AB$2:$AB$41,'Utrekning'!$D$2)," ↑",IF(INDEX('Utrekning'!$P$2:$P$41,'Utrekning'!$D$2)&lt;INDEX('Utrekning'!$AB$2:$AB$41,'Utrekning'!$D$2)," ↓","")))))</f>
        <v/>
      </c>
    </row>
    <row r="10" ht="22" customHeight="1">
      <c r="B10" s="37">
        <f>IFERROR(INDEX('Utrekning'!$B$2:$B$41,'Utrekning'!$D$3),"")</f>
        <v/>
      </c>
      <c r="C10" s="38">
        <f>IF($B10="","",COUNTIF(INDEX('Utrekning'!$E$2:$P$41,'Utrekning'!$D$3,0),3))</f>
        <v/>
      </c>
      <c r="D10" s="38">
        <f>IF($B10="","",COUNTIF(INDEX('Utrekning'!$E$2:$P$41,'Utrekning'!$D$3,0),2))</f>
        <v/>
      </c>
      <c r="E10" s="38">
        <f>IF($B10="","",COUNTIFS('Tiltak'!$B$2:$B$251,$C$5,'Tiltak'!$C$2:$C$251,$B10,'Tiltak'!$E$2:$E$251,"&lt;&gt;",'Tiltak'!$H$2:$H$251,"&lt;&gt;Avslutta",'Tiltak'!$H$2:$H$251,"&lt;&gt;Avsluttet"))</f>
        <v/>
      </c>
      <c r="F10" s="39">
        <f>IF(OR($B10="",INDEX('Utrekning'!$E$2:$E$41,'Utrekning'!$D$3)=0),"",CHOOSE(INDEX('Utrekning'!$E$2:$E$41,'Utrekning'!$D$3),"●","▲","■")&amp;IF(INDEX('Utrekning'!$AC$2:$AC$41,'Utrekning'!$D$3)&gt;1," "&amp;INDEX('Utrekning'!$AC$2:$AC$41,'Utrekning'!$D$3),"")&amp;IF($C$6="","",IF(INDEX('Utrekning'!$Q$2:$Q$41,'Utrekning'!$D$3)=0," ✱",IF(INDEX('Utrekning'!$E$2:$E$41,'Utrekning'!$D$3)&gt;INDEX('Utrekning'!$Q$2:$Q$41,'Utrekning'!$D$3)," ↑",IF(INDEX('Utrekning'!$E$2:$E$41,'Utrekning'!$D$3)&lt;INDEX('Utrekning'!$Q$2:$Q$41,'Utrekning'!$D$3)," ↓","")))))</f>
        <v/>
      </c>
      <c r="G10" s="39">
        <f>IF(OR($B10="",INDEX('Utrekning'!$F$2:$F$41,'Utrekning'!$D$3)=0),"",CHOOSE(INDEX('Utrekning'!$F$2:$F$41,'Utrekning'!$D$3),"●","▲","■")&amp;IF(INDEX('Utrekning'!$AD$2:$AD$41,'Utrekning'!$D$3)&gt;1," "&amp;INDEX('Utrekning'!$AD$2:$AD$41,'Utrekning'!$D$3),"")&amp;IF($C$6="","",IF(INDEX('Utrekning'!$R$2:$R$41,'Utrekning'!$D$3)=0," ✱",IF(INDEX('Utrekning'!$F$2:$F$41,'Utrekning'!$D$3)&gt;INDEX('Utrekning'!$R$2:$R$41,'Utrekning'!$D$3)," ↑",IF(INDEX('Utrekning'!$F$2:$F$41,'Utrekning'!$D$3)&lt;INDEX('Utrekning'!$R$2:$R$41,'Utrekning'!$D$3)," ↓","")))))</f>
        <v/>
      </c>
      <c r="H10" s="39">
        <f>IF(OR($B10="",INDEX('Utrekning'!$G$2:$G$41,'Utrekning'!$D$3)=0),"",CHOOSE(INDEX('Utrekning'!$G$2:$G$41,'Utrekning'!$D$3),"●","▲","■")&amp;IF(INDEX('Utrekning'!$AE$2:$AE$41,'Utrekning'!$D$3)&gt;1," "&amp;INDEX('Utrekning'!$AE$2:$AE$41,'Utrekning'!$D$3),"")&amp;IF($C$6="","",IF(INDEX('Utrekning'!$S$2:$S$41,'Utrekning'!$D$3)=0," ✱",IF(INDEX('Utrekning'!$G$2:$G$41,'Utrekning'!$D$3)&gt;INDEX('Utrekning'!$S$2:$S$41,'Utrekning'!$D$3)," ↑",IF(INDEX('Utrekning'!$G$2:$G$41,'Utrekning'!$D$3)&lt;INDEX('Utrekning'!$S$2:$S$41,'Utrekning'!$D$3)," ↓","")))))</f>
        <v/>
      </c>
      <c r="I10" s="39">
        <f>IF(OR($B10="",INDEX('Utrekning'!$H$2:$H$41,'Utrekning'!$D$3)=0),"",CHOOSE(INDEX('Utrekning'!$H$2:$H$41,'Utrekning'!$D$3),"●","▲","■")&amp;IF(INDEX('Utrekning'!$AF$2:$AF$41,'Utrekning'!$D$3)&gt;1," "&amp;INDEX('Utrekning'!$AF$2:$AF$41,'Utrekning'!$D$3),"")&amp;IF($C$6="","",IF(INDEX('Utrekning'!$T$2:$T$41,'Utrekning'!$D$3)=0," ✱",IF(INDEX('Utrekning'!$H$2:$H$41,'Utrekning'!$D$3)&gt;INDEX('Utrekning'!$T$2:$T$41,'Utrekning'!$D$3)," ↑",IF(INDEX('Utrekning'!$H$2:$H$41,'Utrekning'!$D$3)&lt;INDEX('Utrekning'!$T$2:$T$41,'Utrekning'!$D$3)," ↓","")))))</f>
        <v/>
      </c>
      <c r="J10" s="39">
        <f>IF(OR($B10="",INDEX('Utrekning'!$I$2:$I$41,'Utrekning'!$D$3)=0),"",CHOOSE(INDEX('Utrekning'!$I$2:$I$41,'Utrekning'!$D$3),"●","▲","■")&amp;IF(INDEX('Utrekning'!$AG$2:$AG$41,'Utrekning'!$D$3)&gt;1," "&amp;INDEX('Utrekning'!$AG$2:$AG$41,'Utrekning'!$D$3),"")&amp;IF($C$6="","",IF(INDEX('Utrekning'!$U$2:$U$41,'Utrekning'!$D$3)=0," ✱",IF(INDEX('Utrekning'!$I$2:$I$41,'Utrekning'!$D$3)&gt;INDEX('Utrekning'!$U$2:$U$41,'Utrekning'!$D$3)," ↑",IF(INDEX('Utrekning'!$I$2:$I$41,'Utrekning'!$D$3)&lt;INDEX('Utrekning'!$U$2:$U$41,'Utrekning'!$D$3)," ↓","")))))</f>
        <v/>
      </c>
      <c r="K10" s="39">
        <f>IF(OR($B10="",INDEX('Utrekning'!$J$2:$J$41,'Utrekning'!$D$3)=0),"",CHOOSE(INDEX('Utrekning'!$J$2:$J$41,'Utrekning'!$D$3),"●","▲","■")&amp;IF(INDEX('Utrekning'!$AH$2:$AH$41,'Utrekning'!$D$3)&gt;1," "&amp;INDEX('Utrekning'!$AH$2:$AH$41,'Utrekning'!$D$3),"")&amp;IF($C$6="","",IF(INDEX('Utrekning'!$V$2:$V$41,'Utrekning'!$D$3)=0," ✱",IF(INDEX('Utrekning'!$J$2:$J$41,'Utrekning'!$D$3)&gt;INDEX('Utrekning'!$V$2:$V$41,'Utrekning'!$D$3)," ↑",IF(INDEX('Utrekning'!$J$2:$J$41,'Utrekning'!$D$3)&lt;INDEX('Utrekning'!$V$2:$V$41,'Utrekning'!$D$3)," ↓","")))))</f>
        <v/>
      </c>
      <c r="L10" s="39">
        <f>IF(OR($B10="",INDEX('Utrekning'!$K$2:$K$41,'Utrekning'!$D$3)=0),"",CHOOSE(INDEX('Utrekning'!$K$2:$K$41,'Utrekning'!$D$3),"●","▲","■")&amp;IF(INDEX('Utrekning'!$AI$2:$AI$41,'Utrekning'!$D$3)&gt;1," "&amp;INDEX('Utrekning'!$AI$2:$AI$41,'Utrekning'!$D$3),"")&amp;IF($C$6="","",IF(INDEX('Utrekning'!$W$2:$W$41,'Utrekning'!$D$3)=0," ✱",IF(INDEX('Utrekning'!$K$2:$K$41,'Utrekning'!$D$3)&gt;INDEX('Utrekning'!$W$2:$W$41,'Utrekning'!$D$3)," ↑",IF(INDEX('Utrekning'!$K$2:$K$41,'Utrekning'!$D$3)&lt;INDEX('Utrekning'!$W$2:$W$41,'Utrekning'!$D$3)," ↓","")))))</f>
        <v/>
      </c>
      <c r="M10" s="39">
        <f>IF(OR($B10="",INDEX('Utrekning'!$L$2:$L$41,'Utrekning'!$D$3)=0),"",CHOOSE(INDEX('Utrekning'!$L$2:$L$41,'Utrekning'!$D$3),"●","▲","■")&amp;IF(INDEX('Utrekning'!$AJ$2:$AJ$41,'Utrekning'!$D$3)&gt;1," "&amp;INDEX('Utrekning'!$AJ$2:$AJ$41,'Utrekning'!$D$3),"")&amp;IF($C$6="","",IF(INDEX('Utrekning'!$X$2:$X$41,'Utrekning'!$D$3)=0," ✱",IF(INDEX('Utrekning'!$L$2:$L$41,'Utrekning'!$D$3)&gt;INDEX('Utrekning'!$X$2:$X$41,'Utrekning'!$D$3)," ↑",IF(INDEX('Utrekning'!$L$2:$L$41,'Utrekning'!$D$3)&lt;INDEX('Utrekning'!$X$2:$X$41,'Utrekning'!$D$3)," ↓","")))))</f>
        <v/>
      </c>
      <c r="N10" s="39">
        <f>IF(OR($B10="",INDEX('Utrekning'!$M$2:$M$41,'Utrekning'!$D$3)=0),"",CHOOSE(INDEX('Utrekning'!$M$2:$M$41,'Utrekning'!$D$3),"●","▲","■")&amp;IF(INDEX('Utrekning'!$AK$2:$AK$41,'Utrekning'!$D$3)&gt;1," "&amp;INDEX('Utrekning'!$AK$2:$AK$41,'Utrekning'!$D$3),"")&amp;IF($C$6="","",IF(INDEX('Utrekning'!$Y$2:$Y$41,'Utrekning'!$D$3)=0," ✱",IF(INDEX('Utrekning'!$M$2:$M$41,'Utrekning'!$D$3)&gt;INDEX('Utrekning'!$Y$2:$Y$41,'Utrekning'!$D$3)," ↑",IF(INDEX('Utrekning'!$M$2:$M$41,'Utrekning'!$D$3)&lt;INDEX('Utrekning'!$Y$2:$Y$41,'Utrekning'!$D$3)," ↓","")))))</f>
        <v/>
      </c>
      <c r="O10" s="39">
        <f>IF(OR($B10="",INDEX('Utrekning'!$N$2:$N$41,'Utrekning'!$D$3)=0),"",CHOOSE(INDEX('Utrekning'!$N$2:$N$41,'Utrekning'!$D$3),"●","▲","■")&amp;IF(INDEX('Utrekning'!$AL$2:$AL$41,'Utrekning'!$D$3)&gt;1," "&amp;INDEX('Utrekning'!$AL$2:$AL$41,'Utrekning'!$D$3),"")&amp;IF($C$6="","",IF(INDEX('Utrekning'!$Z$2:$Z$41,'Utrekning'!$D$3)=0," ✱",IF(INDEX('Utrekning'!$N$2:$N$41,'Utrekning'!$D$3)&gt;INDEX('Utrekning'!$Z$2:$Z$41,'Utrekning'!$D$3)," ↑",IF(INDEX('Utrekning'!$N$2:$N$41,'Utrekning'!$D$3)&lt;INDEX('Utrekning'!$Z$2:$Z$41,'Utrekning'!$D$3)," ↓","")))))</f>
        <v/>
      </c>
      <c r="P10" s="39">
        <f>IF(OR($B10="",INDEX('Utrekning'!$O$2:$O$41,'Utrekning'!$D$3)=0),"",CHOOSE(INDEX('Utrekning'!$O$2:$O$41,'Utrekning'!$D$3),"●","▲","■")&amp;IF(INDEX('Utrekning'!$AM$2:$AM$41,'Utrekning'!$D$3)&gt;1," "&amp;INDEX('Utrekning'!$AM$2:$AM$41,'Utrekning'!$D$3),"")&amp;IF($C$6="","",IF(INDEX('Utrekning'!$AA$2:$AA$41,'Utrekning'!$D$3)=0," ✱",IF(INDEX('Utrekning'!$O$2:$O$41,'Utrekning'!$D$3)&gt;INDEX('Utrekning'!$AA$2:$AA$41,'Utrekning'!$D$3)," ↑",IF(INDEX('Utrekning'!$O$2:$O$41,'Utrekning'!$D$3)&lt;INDEX('Utrekning'!$AA$2:$AA$41,'Utrekning'!$D$3)," ↓","")))))</f>
        <v/>
      </c>
      <c r="Q10" s="39">
        <f>IF(OR($B10="",INDEX('Utrekning'!$P$2:$P$41,'Utrekning'!$D$3)=0),"",CHOOSE(INDEX('Utrekning'!$P$2:$P$41,'Utrekning'!$D$3),"●","▲","■")&amp;IF(INDEX('Utrekning'!$AN$2:$AN$41,'Utrekning'!$D$3)&gt;1," "&amp;INDEX('Utrekning'!$AN$2:$AN$41,'Utrekning'!$D$3),"")&amp;IF($C$6="","",IF(INDEX('Utrekning'!$AB$2:$AB$41,'Utrekning'!$D$3)=0," ✱",IF(INDEX('Utrekning'!$P$2:$P$41,'Utrekning'!$D$3)&gt;INDEX('Utrekning'!$AB$2:$AB$41,'Utrekning'!$D$3)," ↑",IF(INDEX('Utrekning'!$P$2:$P$41,'Utrekning'!$D$3)&lt;INDEX('Utrekning'!$AB$2:$AB$41,'Utrekning'!$D$3)," ↓","")))))</f>
        <v/>
      </c>
    </row>
    <row r="11" ht="22" customHeight="1">
      <c r="B11" s="37">
        <f>IFERROR(INDEX('Utrekning'!$B$2:$B$41,'Utrekning'!$D$4),"")</f>
        <v/>
      </c>
      <c r="C11" s="38">
        <f>IF($B11="","",COUNTIF(INDEX('Utrekning'!$E$2:$P$41,'Utrekning'!$D$4,0),3))</f>
        <v/>
      </c>
      <c r="D11" s="38">
        <f>IF($B11="","",COUNTIF(INDEX('Utrekning'!$E$2:$P$41,'Utrekning'!$D$4,0),2))</f>
        <v/>
      </c>
      <c r="E11" s="38">
        <f>IF($B11="","",COUNTIFS('Tiltak'!$B$2:$B$251,$C$5,'Tiltak'!$C$2:$C$251,$B11,'Tiltak'!$E$2:$E$251,"&lt;&gt;",'Tiltak'!$H$2:$H$251,"&lt;&gt;Avslutta",'Tiltak'!$H$2:$H$251,"&lt;&gt;Avsluttet"))</f>
        <v/>
      </c>
      <c r="F11" s="39">
        <f>IF(OR($B11="",INDEX('Utrekning'!$E$2:$E$41,'Utrekning'!$D$4)=0),"",CHOOSE(INDEX('Utrekning'!$E$2:$E$41,'Utrekning'!$D$4),"●","▲","■")&amp;IF(INDEX('Utrekning'!$AC$2:$AC$41,'Utrekning'!$D$4)&gt;1," "&amp;INDEX('Utrekning'!$AC$2:$AC$41,'Utrekning'!$D$4),"")&amp;IF($C$6="","",IF(INDEX('Utrekning'!$Q$2:$Q$41,'Utrekning'!$D$4)=0," ✱",IF(INDEX('Utrekning'!$E$2:$E$41,'Utrekning'!$D$4)&gt;INDEX('Utrekning'!$Q$2:$Q$41,'Utrekning'!$D$4)," ↑",IF(INDEX('Utrekning'!$E$2:$E$41,'Utrekning'!$D$4)&lt;INDEX('Utrekning'!$Q$2:$Q$41,'Utrekning'!$D$4)," ↓","")))))</f>
        <v/>
      </c>
      <c r="G11" s="39">
        <f>IF(OR($B11="",INDEX('Utrekning'!$F$2:$F$41,'Utrekning'!$D$4)=0),"",CHOOSE(INDEX('Utrekning'!$F$2:$F$41,'Utrekning'!$D$4),"●","▲","■")&amp;IF(INDEX('Utrekning'!$AD$2:$AD$41,'Utrekning'!$D$4)&gt;1," "&amp;INDEX('Utrekning'!$AD$2:$AD$41,'Utrekning'!$D$4),"")&amp;IF($C$6="","",IF(INDEX('Utrekning'!$R$2:$R$41,'Utrekning'!$D$4)=0," ✱",IF(INDEX('Utrekning'!$F$2:$F$41,'Utrekning'!$D$4)&gt;INDEX('Utrekning'!$R$2:$R$41,'Utrekning'!$D$4)," ↑",IF(INDEX('Utrekning'!$F$2:$F$41,'Utrekning'!$D$4)&lt;INDEX('Utrekning'!$R$2:$R$41,'Utrekning'!$D$4)," ↓","")))))</f>
        <v/>
      </c>
      <c r="H11" s="39">
        <f>IF(OR($B11="",INDEX('Utrekning'!$G$2:$G$41,'Utrekning'!$D$4)=0),"",CHOOSE(INDEX('Utrekning'!$G$2:$G$41,'Utrekning'!$D$4),"●","▲","■")&amp;IF(INDEX('Utrekning'!$AE$2:$AE$41,'Utrekning'!$D$4)&gt;1," "&amp;INDEX('Utrekning'!$AE$2:$AE$41,'Utrekning'!$D$4),"")&amp;IF($C$6="","",IF(INDEX('Utrekning'!$S$2:$S$41,'Utrekning'!$D$4)=0," ✱",IF(INDEX('Utrekning'!$G$2:$G$41,'Utrekning'!$D$4)&gt;INDEX('Utrekning'!$S$2:$S$41,'Utrekning'!$D$4)," ↑",IF(INDEX('Utrekning'!$G$2:$G$41,'Utrekning'!$D$4)&lt;INDEX('Utrekning'!$S$2:$S$41,'Utrekning'!$D$4)," ↓","")))))</f>
        <v/>
      </c>
      <c r="I11" s="39">
        <f>IF(OR($B11="",INDEX('Utrekning'!$H$2:$H$41,'Utrekning'!$D$4)=0),"",CHOOSE(INDEX('Utrekning'!$H$2:$H$41,'Utrekning'!$D$4),"●","▲","■")&amp;IF(INDEX('Utrekning'!$AF$2:$AF$41,'Utrekning'!$D$4)&gt;1," "&amp;INDEX('Utrekning'!$AF$2:$AF$41,'Utrekning'!$D$4),"")&amp;IF($C$6="","",IF(INDEX('Utrekning'!$T$2:$T$41,'Utrekning'!$D$4)=0," ✱",IF(INDEX('Utrekning'!$H$2:$H$41,'Utrekning'!$D$4)&gt;INDEX('Utrekning'!$T$2:$T$41,'Utrekning'!$D$4)," ↑",IF(INDEX('Utrekning'!$H$2:$H$41,'Utrekning'!$D$4)&lt;INDEX('Utrekning'!$T$2:$T$41,'Utrekning'!$D$4)," ↓","")))))</f>
        <v/>
      </c>
      <c r="J11" s="39">
        <f>IF(OR($B11="",INDEX('Utrekning'!$I$2:$I$41,'Utrekning'!$D$4)=0),"",CHOOSE(INDEX('Utrekning'!$I$2:$I$41,'Utrekning'!$D$4),"●","▲","■")&amp;IF(INDEX('Utrekning'!$AG$2:$AG$41,'Utrekning'!$D$4)&gt;1," "&amp;INDEX('Utrekning'!$AG$2:$AG$41,'Utrekning'!$D$4),"")&amp;IF($C$6="","",IF(INDEX('Utrekning'!$U$2:$U$41,'Utrekning'!$D$4)=0," ✱",IF(INDEX('Utrekning'!$I$2:$I$41,'Utrekning'!$D$4)&gt;INDEX('Utrekning'!$U$2:$U$41,'Utrekning'!$D$4)," ↑",IF(INDEX('Utrekning'!$I$2:$I$41,'Utrekning'!$D$4)&lt;INDEX('Utrekning'!$U$2:$U$41,'Utrekning'!$D$4)," ↓","")))))</f>
        <v/>
      </c>
      <c r="K11" s="39">
        <f>IF(OR($B11="",INDEX('Utrekning'!$J$2:$J$41,'Utrekning'!$D$4)=0),"",CHOOSE(INDEX('Utrekning'!$J$2:$J$41,'Utrekning'!$D$4),"●","▲","■")&amp;IF(INDEX('Utrekning'!$AH$2:$AH$41,'Utrekning'!$D$4)&gt;1," "&amp;INDEX('Utrekning'!$AH$2:$AH$41,'Utrekning'!$D$4),"")&amp;IF($C$6="","",IF(INDEX('Utrekning'!$V$2:$V$41,'Utrekning'!$D$4)=0," ✱",IF(INDEX('Utrekning'!$J$2:$J$41,'Utrekning'!$D$4)&gt;INDEX('Utrekning'!$V$2:$V$41,'Utrekning'!$D$4)," ↑",IF(INDEX('Utrekning'!$J$2:$J$41,'Utrekning'!$D$4)&lt;INDEX('Utrekning'!$V$2:$V$41,'Utrekning'!$D$4)," ↓","")))))</f>
        <v/>
      </c>
      <c r="L11" s="39">
        <f>IF(OR($B11="",INDEX('Utrekning'!$K$2:$K$41,'Utrekning'!$D$4)=0),"",CHOOSE(INDEX('Utrekning'!$K$2:$K$41,'Utrekning'!$D$4),"●","▲","■")&amp;IF(INDEX('Utrekning'!$AI$2:$AI$41,'Utrekning'!$D$4)&gt;1," "&amp;INDEX('Utrekning'!$AI$2:$AI$41,'Utrekning'!$D$4),"")&amp;IF($C$6="","",IF(INDEX('Utrekning'!$W$2:$W$41,'Utrekning'!$D$4)=0," ✱",IF(INDEX('Utrekning'!$K$2:$K$41,'Utrekning'!$D$4)&gt;INDEX('Utrekning'!$W$2:$W$41,'Utrekning'!$D$4)," ↑",IF(INDEX('Utrekning'!$K$2:$K$41,'Utrekning'!$D$4)&lt;INDEX('Utrekning'!$W$2:$W$41,'Utrekning'!$D$4)," ↓","")))))</f>
        <v/>
      </c>
      <c r="M11" s="39">
        <f>IF(OR($B11="",INDEX('Utrekning'!$L$2:$L$41,'Utrekning'!$D$4)=0),"",CHOOSE(INDEX('Utrekning'!$L$2:$L$41,'Utrekning'!$D$4),"●","▲","■")&amp;IF(INDEX('Utrekning'!$AJ$2:$AJ$41,'Utrekning'!$D$4)&gt;1," "&amp;INDEX('Utrekning'!$AJ$2:$AJ$41,'Utrekning'!$D$4),"")&amp;IF($C$6="","",IF(INDEX('Utrekning'!$X$2:$X$41,'Utrekning'!$D$4)=0," ✱",IF(INDEX('Utrekning'!$L$2:$L$41,'Utrekning'!$D$4)&gt;INDEX('Utrekning'!$X$2:$X$41,'Utrekning'!$D$4)," ↑",IF(INDEX('Utrekning'!$L$2:$L$41,'Utrekning'!$D$4)&lt;INDEX('Utrekning'!$X$2:$X$41,'Utrekning'!$D$4)," ↓","")))))</f>
        <v/>
      </c>
      <c r="N11" s="39">
        <f>IF(OR($B11="",INDEX('Utrekning'!$M$2:$M$41,'Utrekning'!$D$4)=0),"",CHOOSE(INDEX('Utrekning'!$M$2:$M$41,'Utrekning'!$D$4),"●","▲","■")&amp;IF(INDEX('Utrekning'!$AK$2:$AK$41,'Utrekning'!$D$4)&gt;1," "&amp;INDEX('Utrekning'!$AK$2:$AK$41,'Utrekning'!$D$4),"")&amp;IF($C$6="","",IF(INDEX('Utrekning'!$Y$2:$Y$41,'Utrekning'!$D$4)=0," ✱",IF(INDEX('Utrekning'!$M$2:$M$41,'Utrekning'!$D$4)&gt;INDEX('Utrekning'!$Y$2:$Y$41,'Utrekning'!$D$4)," ↑",IF(INDEX('Utrekning'!$M$2:$M$41,'Utrekning'!$D$4)&lt;INDEX('Utrekning'!$Y$2:$Y$41,'Utrekning'!$D$4)," ↓","")))))</f>
        <v/>
      </c>
      <c r="O11" s="39">
        <f>IF(OR($B11="",INDEX('Utrekning'!$N$2:$N$41,'Utrekning'!$D$4)=0),"",CHOOSE(INDEX('Utrekning'!$N$2:$N$41,'Utrekning'!$D$4),"●","▲","■")&amp;IF(INDEX('Utrekning'!$AL$2:$AL$41,'Utrekning'!$D$4)&gt;1," "&amp;INDEX('Utrekning'!$AL$2:$AL$41,'Utrekning'!$D$4),"")&amp;IF($C$6="","",IF(INDEX('Utrekning'!$Z$2:$Z$41,'Utrekning'!$D$4)=0," ✱",IF(INDEX('Utrekning'!$N$2:$N$41,'Utrekning'!$D$4)&gt;INDEX('Utrekning'!$Z$2:$Z$41,'Utrekning'!$D$4)," ↑",IF(INDEX('Utrekning'!$N$2:$N$41,'Utrekning'!$D$4)&lt;INDEX('Utrekning'!$Z$2:$Z$41,'Utrekning'!$D$4)," ↓","")))))</f>
        <v/>
      </c>
      <c r="P11" s="39">
        <f>IF(OR($B11="",INDEX('Utrekning'!$O$2:$O$41,'Utrekning'!$D$4)=0),"",CHOOSE(INDEX('Utrekning'!$O$2:$O$41,'Utrekning'!$D$4),"●","▲","■")&amp;IF(INDEX('Utrekning'!$AM$2:$AM$41,'Utrekning'!$D$4)&gt;1," "&amp;INDEX('Utrekning'!$AM$2:$AM$41,'Utrekning'!$D$4),"")&amp;IF($C$6="","",IF(INDEX('Utrekning'!$AA$2:$AA$41,'Utrekning'!$D$4)=0," ✱",IF(INDEX('Utrekning'!$O$2:$O$41,'Utrekning'!$D$4)&gt;INDEX('Utrekning'!$AA$2:$AA$41,'Utrekning'!$D$4)," ↑",IF(INDEX('Utrekning'!$O$2:$O$41,'Utrekning'!$D$4)&lt;INDEX('Utrekning'!$AA$2:$AA$41,'Utrekning'!$D$4)," ↓","")))))</f>
        <v/>
      </c>
      <c r="Q11" s="39">
        <f>IF(OR($B11="",INDEX('Utrekning'!$P$2:$P$41,'Utrekning'!$D$4)=0),"",CHOOSE(INDEX('Utrekning'!$P$2:$P$41,'Utrekning'!$D$4),"●","▲","■")&amp;IF(INDEX('Utrekning'!$AN$2:$AN$41,'Utrekning'!$D$4)&gt;1," "&amp;INDEX('Utrekning'!$AN$2:$AN$41,'Utrekning'!$D$4),"")&amp;IF($C$6="","",IF(INDEX('Utrekning'!$AB$2:$AB$41,'Utrekning'!$D$4)=0," ✱",IF(INDEX('Utrekning'!$P$2:$P$41,'Utrekning'!$D$4)&gt;INDEX('Utrekning'!$AB$2:$AB$41,'Utrekning'!$D$4)," ↑",IF(INDEX('Utrekning'!$P$2:$P$41,'Utrekning'!$D$4)&lt;INDEX('Utrekning'!$AB$2:$AB$41,'Utrekning'!$D$4)," ↓","")))))</f>
        <v/>
      </c>
    </row>
    <row r="12" ht="22" customHeight="1">
      <c r="B12" s="37">
        <f>IFERROR(INDEX('Utrekning'!$B$2:$B$41,'Utrekning'!$D$5),"")</f>
        <v/>
      </c>
      <c r="C12" s="38">
        <f>IF($B12="","",COUNTIF(INDEX('Utrekning'!$E$2:$P$41,'Utrekning'!$D$5,0),3))</f>
        <v/>
      </c>
      <c r="D12" s="38">
        <f>IF($B12="","",COUNTIF(INDEX('Utrekning'!$E$2:$P$41,'Utrekning'!$D$5,0),2))</f>
        <v/>
      </c>
      <c r="E12" s="38">
        <f>IF($B12="","",COUNTIFS('Tiltak'!$B$2:$B$251,$C$5,'Tiltak'!$C$2:$C$251,$B12,'Tiltak'!$E$2:$E$251,"&lt;&gt;",'Tiltak'!$H$2:$H$251,"&lt;&gt;Avslutta",'Tiltak'!$H$2:$H$251,"&lt;&gt;Avsluttet"))</f>
        <v/>
      </c>
      <c r="F12" s="39">
        <f>IF(OR($B12="",INDEX('Utrekning'!$E$2:$E$41,'Utrekning'!$D$5)=0),"",CHOOSE(INDEX('Utrekning'!$E$2:$E$41,'Utrekning'!$D$5),"●","▲","■")&amp;IF(INDEX('Utrekning'!$AC$2:$AC$41,'Utrekning'!$D$5)&gt;1," "&amp;INDEX('Utrekning'!$AC$2:$AC$41,'Utrekning'!$D$5),"")&amp;IF($C$6="","",IF(INDEX('Utrekning'!$Q$2:$Q$41,'Utrekning'!$D$5)=0," ✱",IF(INDEX('Utrekning'!$E$2:$E$41,'Utrekning'!$D$5)&gt;INDEX('Utrekning'!$Q$2:$Q$41,'Utrekning'!$D$5)," ↑",IF(INDEX('Utrekning'!$E$2:$E$41,'Utrekning'!$D$5)&lt;INDEX('Utrekning'!$Q$2:$Q$41,'Utrekning'!$D$5)," ↓","")))))</f>
        <v/>
      </c>
      <c r="G12" s="39">
        <f>IF(OR($B12="",INDEX('Utrekning'!$F$2:$F$41,'Utrekning'!$D$5)=0),"",CHOOSE(INDEX('Utrekning'!$F$2:$F$41,'Utrekning'!$D$5),"●","▲","■")&amp;IF(INDEX('Utrekning'!$AD$2:$AD$41,'Utrekning'!$D$5)&gt;1," "&amp;INDEX('Utrekning'!$AD$2:$AD$41,'Utrekning'!$D$5),"")&amp;IF($C$6="","",IF(INDEX('Utrekning'!$R$2:$R$41,'Utrekning'!$D$5)=0," ✱",IF(INDEX('Utrekning'!$F$2:$F$41,'Utrekning'!$D$5)&gt;INDEX('Utrekning'!$R$2:$R$41,'Utrekning'!$D$5)," ↑",IF(INDEX('Utrekning'!$F$2:$F$41,'Utrekning'!$D$5)&lt;INDEX('Utrekning'!$R$2:$R$41,'Utrekning'!$D$5)," ↓","")))))</f>
        <v/>
      </c>
      <c r="H12" s="39">
        <f>IF(OR($B12="",INDEX('Utrekning'!$G$2:$G$41,'Utrekning'!$D$5)=0),"",CHOOSE(INDEX('Utrekning'!$G$2:$G$41,'Utrekning'!$D$5),"●","▲","■")&amp;IF(INDEX('Utrekning'!$AE$2:$AE$41,'Utrekning'!$D$5)&gt;1," "&amp;INDEX('Utrekning'!$AE$2:$AE$41,'Utrekning'!$D$5),"")&amp;IF($C$6="","",IF(INDEX('Utrekning'!$S$2:$S$41,'Utrekning'!$D$5)=0," ✱",IF(INDEX('Utrekning'!$G$2:$G$41,'Utrekning'!$D$5)&gt;INDEX('Utrekning'!$S$2:$S$41,'Utrekning'!$D$5)," ↑",IF(INDEX('Utrekning'!$G$2:$G$41,'Utrekning'!$D$5)&lt;INDEX('Utrekning'!$S$2:$S$41,'Utrekning'!$D$5)," ↓","")))))</f>
        <v/>
      </c>
      <c r="I12" s="39">
        <f>IF(OR($B12="",INDEX('Utrekning'!$H$2:$H$41,'Utrekning'!$D$5)=0),"",CHOOSE(INDEX('Utrekning'!$H$2:$H$41,'Utrekning'!$D$5),"●","▲","■")&amp;IF(INDEX('Utrekning'!$AF$2:$AF$41,'Utrekning'!$D$5)&gt;1," "&amp;INDEX('Utrekning'!$AF$2:$AF$41,'Utrekning'!$D$5),"")&amp;IF($C$6="","",IF(INDEX('Utrekning'!$T$2:$T$41,'Utrekning'!$D$5)=0," ✱",IF(INDEX('Utrekning'!$H$2:$H$41,'Utrekning'!$D$5)&gt;INDEX('Utrekning'!$T$2:$T$41,'Utrekning'!$D$5)," ↑",IF(INDEX('Utrekning'!$H$2:$H$41,'Utrekning'!$D$5)&lt;INDEX('Utrekning'!$T$2:$T$41,'Utrekning'!$D$5)," ↓","")))))</f>
        <v/>
      </c>
      <c r="J12" s="39">
        <f>IF(OR($B12="",INDEX('Utrekning'!$I$2:$I$41,'Utrekning'!$D$5)=0),"",CHOOSE(INDEX('Utrekning'!$I$2:$I$41,'Utrekning'!$D$5),"●","▲","■")&amp;IF(INDEX('Utrekning'!$AG$2:$AG$41,'Utrekning'!$D$5)&gt;1," "&amp;INDEX('Utrekning'!$AG$2:$AG$41,'Utrekning'!$D$5),"")&amp;IF($C$6="","",IF(INDEX('Utrekning'!$U$2:$U$41,'Utrekning'!$D$5)=0," ✱",IF(INDEX('Utrekning'!$I$2:$I$41,'Utrekning'!$D$5)&gt;INDEX('Utrekning'!$U$2:$U$41,'Utrekning'!$D$5)," ↑",IF(INDEX('Utrekning'!$I$2:$I$41,'Utrekning'!$D$5)&lt;INDEX('Utrekning'!$U$2:$U$41,'Utrekning'!$D$5)," ↓","")))))</f>
        <v/>
      </c>
      <c r="K12" s="39">
        <f>IF(OR($B12="",INDEX('Utrekning'!$J$2:$J$41,'Utrekning'!$D$5)=0),"",CHOOSE(INDEX('Utrekning'!$J$2:$J$41,'Utrekning'!$D$5),"●","▲","■")&amp;IF(INDEX('Utrekning'!$AH$2:$AH$41,'Utrekning'!$D$5)&gt;1," "&amp;INDEX('Utrekning'!$AH$2:$AH$41,'Utrekning'!$D$5),"")&amp;IF($C$6="","",IF(INDEX('Utrekning'!$V$2:$V$41,'Utrekning'!$D$5)=0," ✱",IF(INDEX('Utrekning'!$J$2:$J$41,'Utrekning'!$D$5)&gt;INDEX('Utrekning'!$V$2:$V$41,'Utrekning'!$D$5)," ↑",IF(INDEX('Utrekning'!$J$2:$J$41,'Utrekning'!$D$5)&lt;INDEX('Utrekning'!$V$2:$V$41,'Utrekning'!$D$5)," ↓","")))))</f>
        <v/>
      </c>
      <c r="L12" s="39">
        <f>IF(OR($B12="",INDEX('Utrekning'!$K$2:$K$41,'Utrekning'!$D$5)=0),"",CHOOSE(INDEX('Utrekning'!$K$2:$K$41,'Utrekning'!$D$5),"●","▲","■")&amp;IF(INDEX('Utrekning'!$AI$2:$AI$41,'Utrekning'!$D$5)&gt;1," "&amp;INDEX('Utrekning'!$AI$2:$AI$41,'Utrekning'!$D$5),"")&amp;IF($C$6="","",IF(INDEX('Utrekning'!$W$2:$W$41,'Utrekning'!$D$5)=0," ✱",IF(INDEX('Utrekning'!$K$2:$K$41,'Utrekning'!$D$5)&gt;INDEX('Utrekning'!$W$2:$W$41,'Utrekning'!$D$5)," ↑",IF(INDEX('Utrekning'!$K$2:$K$41,'Utrekning'!$D$5)&lt;INDEX('Utrekning'!$W$2:$W$41,'Utrekning'!$D$5)," ↓","")))))</f>
        <v/>
      </c>
      <c r="M12" s="39">
        <f>IF(OR($B12="",INDEX('Utrekning'!$L$2:$L$41,'Utrekning'!$D$5)=0),"",CHOOSE(INDEX('Utrekning'!$L$2:$L$41,'Utrekning'!$D$5),"●","▲","■")&amp;IF(INDEX('Utrekning'!$AJ$2:$AJ$41,'Utrekning'!$D$5)&gt;1," "&amp;INDEX('Utrekning'!$AJ$2:$AJ$41,'Utrekning'!$D$5),"")&amp;IF($C$6="","",IF(INDEX('Utrekning'!$X$2:$X$41,'Utrekning'!$D$5)=0," ✱",IF(INDEX('Utrekning'!$L$2:$L$41,'Utrekning'!$D$5)&gt;INDEX('Utrekning'!$X$2:$X$41,'Utrekning'!$D$5)," ↑",IF(INDEX('Utrekning'!$L$2:$L$41,'Utrekning'!$D$5)&lt;INDEX('Utrekning'!$X$2:$X$41,'Utrekning'!$D$5)," ↓","")))))</f>
        <v/>
      </c>
      <c r="N12" s="39">
        <f>IF(OR($B12="",INDEX('Utrekning'!$M$2:$M$41,'Utrekning'!$D$5)=0),"",CHOOSE(INDEX('Utrekning'!$M$2:$M$41,'Utrekning'!$D$5),"●","▲","■")&amp;IF(INDEX('Utrekning'!$AK$2:$AK$41,'Utrekning'!$D$5)&gt;1," "&amp;INDEX('Utrekning'!$AK$2:$AK$41,'Utrekning'!$D$5),"")&amp;IF($C$6="","",IF(INDEX('Utrekning'!$Y$2:$Y$41,'Utrekning'!$D$5)=0," ✱",IF(INDEX('Utrekning'!$M$2:$M$41,'Utrekning'!$D$5)&gt;INDEX('Utrekning'!$Y$2:$Y$41,'Utrekning'!$D$5)," ↑",IF(INDEX('Utrekning'!$M$2:$M$41,'Utrekning'!$D$5)&lt;INDEX('Utrekning'!$Y$2:$Y$41,'Utrekning'!$D$5)," ↓","")))))</f>
        <v/>
      </c>
      <c r="O12" s="39">
        <f>IF(OR($B12="",INDEX('Utrekning'!$N$2:$N$41,'Utrekning'!$D$5)=0),"",CHOOSE(INDEX('Utrekning'!$N$2:$N$41,'Utrekning'!$D$5),"●","▲","■")&amp;IF(INDEX('Utrekning'!$AL$2:$AL$41,'Utrekning'!$D$5)&gt;1," "&amp;INDEX('Utrekning'!$AL$2:$AL$41,'Utrekning'!$D$5),"")&amp;IF($C$6="","",IF(INDEX('Utrekning'!$Z$2:$Z$41,'Utrekning'!$D$5)=0," ✱",IF(INDEX('Utrekning'!$N$2:$N$41,'Utrekning'!$D$5)&gt;INDEX('Utrekning'!$Z$2:$Z$41,'Utrekning'!$D$5)," ↑",IF(INDEX('Utrekning'!$N$2:$N$41,'Utrekning'!$D$5)&lt;INDEX('Utrekning'!$Z$2:$Z$41,'Utrekning'!$D$5)," ↓","")))))</f>
        <v/>
      </c>
      <c r="P12" s="39">
        <f>IF(OR($B12="",INDEX('Utrekning'!$O$2:$O$41,'Utrekning'!$D$5)=0),"",CHOOSE(INDEX('Utrekning'!$O$2:$O$41,'Utrekning'!$D$5),"●","▲","■")&amp;IF(INDEX('Utrekning'!$AM$2:$AM$41,'Utrekning'!$D$5)&gt;1," "&amp;INDEX('Utrekning'!$AM$2:$AM$41,'Utrekning'!$D$5),"")&amp;IF($C$6="","",IF(INDEX('Utrekning'!$AA$2:$AA$41,'Utrekning'!$D$5)=0," ✱",IF(INDEX('Utrekning'!$O$2:$O$41,'Utrekning'!$D$5)&gt;INDEX('Utrekning'!$AA$2:$AA$41,'Utrekning'!$D$5)," ↑",IF(INDEX('Utrekning'!$O$2:$O$41,'Utrekning'!$D$5)&lt;INDEX('Utrekning'!$AA$2:$AA$41,'Utrekning'!$D$5)," ↓","")))))</f>
        <v/>
      </c>
      <c r="Q12" s="39">
        <f>IF(OR($B12="",INDEX('Utrekning'!$P$2:$P$41,'Utrekning'!$D$5)=0),"",CHOOSE(INDEX('Utrekning'!$P$2:$P$41,'Utrekning'!$D$5),"●","▲","■")&amp;IF(INDEX('Utrekning'!$AN$2:$AN$41,'Utrekning'!$D$5)&gt;1," "&amp;INDEX('Utrekning'!$AN$2:$AN$41,'Utrekning'!$D$5),"")&amp;IF($C$6="","",IF(INDEX('Utrekning'!$AB$2:$AB$41,'Utrekning'!$D$5)=0," ✱",IF(INDEX('Utrekning'!$P$2:$P$41,'Utrekning'!$D$5)&gt;INDEX('Utrekning'!$AB$2:$AB$41,'Utrekning'!$D$5)," ↑",IF(INDEX('Utrekning'!$P$2:$P$41,'Utrekning'!$D$5)&lt;INDEX('Utrekning'!$AB$2:$AB$41,'Utrekning'!$D$5)," ↓","")))))</f>
        <v/>
      </c>
    </row>
    <row r="13" ht="22" customHeight="1">
      <c r="B13" s="37">
        <f>IFERROR(INDEX('Utrekning'!$B$2:$B$41,'Utrekning'!$D$6),"")</f>
        <v/>
      </c>
      <c r="C13" s="38">
        <f>IF($B13="","",COUNTIF(INDEX('Utrekning'!$E$2:$P$41,'Utrekning'!$D$6,0),3))</f>
        <v/>
      </c>
      <c r="D13" s="38">
        <f>IF($B13="","",COUNTIF(INDEX('Utrekning'!$E$2:$P$41,'Utrekning'!$D$6,0),2))</f>
        <v/>
      </c>
      <c r="E13" s="38">
        <f>IF($B13="","",COUNTIFS('Tiltak'!$B$2:$B$251,$C$5,'Tiltak'!$C$2:$C$251,$B13,'Tiltak'!$E$2:$E$251,"&lt;&gt;",'Tiltak'!$H$2:$H$251,"&lt;&gt;Avslutta",'Tiltak'!$H$2:$H$251,"&lt;&gt;Avsluttet"))</f>
        <v/>
      </c>
      <c r="F13" s="39">
        <f>IF(OR($B13="",INDEX('Utrekning'!$E$2:$E$41,'Utrekning'!$D$6)=0),"",CHOOSE(INDEX('Utrekning'!$E$2:$E$41,'Utrekning'!$D$6),"●","▲","■")&amp;IF(INDEX('Utrekning'!$AC$2:$AC$41,'Utrekning'!$D$6)&gt;1," "&amp;INDEX('Utrekning'!$AC$2:$AC$41,'Utrekning'!$D$6),"")&amp;IF($C$6="","",IF(INDEX('Utrekning'!$Q$2:$Q$41,'Utrekning'!$D$6)=0," ✱",IF(INDEX('Utrekning'!$E$2:$E$41,'Utrekning'!$D$6)&gt;INDEX('Utrekning'!$Q$2:$Q$41,'Utrekning'!$D$6)," ↑",IF(INDEX('Utrekning'!$E$2:$E$41,'Utrekning'!$D$6)&lt;INDEX('Utrekning'!$Q$2:$Q$41,'Utrekning'!$D$6)," ↓","")))))</f>
        <v/>
      </c>
      <c r="G13" s="39">
        <f>IF(OR($B13="",INDEX('Utrekning'!$F$2:$F$41,'Utrekning'!$D$6)=0),"",CHOOSE(INDEX('Utrekning'!$F$2:$F$41,'Utrekning'!$D$6),"●","▲","■")&amp;IF(INDEX('Utrekning'!$AD$2:$AD$41,'Utrekning'!$D$6)&gt;1," "&amp;INDEX('Utrekning'!$AD$2:$AD$41,'Utrekning'!$D$6),"")&amp;IF($C$6="","",IF(INDEX('Utrekning'!$R$2:$R$41,'Utrekning'!$D$6)=0," ✱",IF(INDEX('Utrekning'!$F$2:$F$41,'Utrekning'!$D$6)&gt;INDEX('Utrekning'!$R$2:$R$41,'Utrekning'!$D$6)," ↑",IF(INDEX('Utrekning'!$F$2:$F$41,'Utrekning'!$D$6)&lt;INDEX('Utrekning'!$R$2:$R$41,'Utrekning'!$D$6)," ↓","")))))</f>
        <v/>
      </c>
      <c r="H13" s="39">
        <f>IF(OR($B13="",INDEX('Utrekning'!$G$2:$G$41,'Utrekning'!$D$6)=0),"",CHOOSE(INDEX('Utrekning'!$G$2:$G$41,'Utrekning'!$D$6),"●","▲","■")&amp;IF(INDEX('Utrekning'!$AE$2:$AE$41,'Utrekning'!$D$6)&gt;1," "&amp;INDEX('Utrekning'!$AE$2:$AE$41,'Utrekning'!$D$6),"")&amp;IF($C$6="","",IF(INDEX('Utrekning'!$S$2:$S$41,'Utrekning'!$D$6)=0," ✱",IF(INDEX('Utrekning'!$G$2:$G$41,'Utrekning'!$D$6)&gt;INDEX('Utrekning'!$S$2:$S$41,'Utrekning'!$D$6)," ↑",IF(INDEX('Utrekning'!$G$2:$G$41,'Utrekning'!$D$6)&lt;INDEX('Utrekning'!$S$2:$S$41,'Utrekning'!$D$6)," ↓","")))))</f>
        <v/>
      </c>
      <c r="I13" s="39">
        <f>IF(OR($B13="",INDEX('Utrekning'!$H$2:$H$41,'Utrekning'!$D$6)=0),"",CHOOSE(INDEX('Utrekning'!$H$2:$H$41,'Utrekning'!$D$6),"●","▲","■")&amp;IF(INDEX('Utrekning'!$AF$2:$AF$41,'Utrekning'!$D$6)&gt;1," "&amp;INDEX('Utrekning'!$AF$2:$AF$41,'Utrekning'!$D$6),"")&amp;IF($C$6="","",IF(INDEX('Utrekning'!$T$2:$T$41,'Utrekning'!$D$6)=0," ✱",IF(INDEX('Utrekning'!$H$2:$H$41,'Utrekning'!$D$6)&gt;INDEX('Utrekning'!$T$2:$T$41,'Utrekning'!$D$6)," ↑",IF(INDEX('Utrekning'!$H$2:$H$41,'Utrekning'!$D$6)&lt;INDEX('Utrekning'!$T$2:$T$41,'Utrekning'!$D$6)," ↓","")))))</f>
        <v/>
      </c>
      <c r="J13" s="39">
        <f>IF(OR($B13="",INDEX('Utrekning'!$I$2:$I$41,'Utrekning'!$D$6)=0),"",CHOOSE(INDEX('Utrekning'!$I$2:$I$41,'Utrekning'!$D$6),"●","▲","■")&amp;IF(INDEX('Utrekning'!$AG$2:$AG$41,'Utrekning'!$D$6)&gt;1," "&amp;INDEX('Utrekning'!$AG$2:$AG$41,'Utrekning'!$D$6),"")&amp;IF($C$6="","",IF(INDEX('Utrekning'!$U$2:$U$41,'Utrekning'!$D$6)=0," ✱",IF(INDEX('Utrekning'!$I$2:$I$41,'Utrekning'!$D$6)&gt;INDEX('Utrekning'!$U$2:$U$41,'Utrekning'!$D$6)," ↑",IF(INDEX('Utrekning'!$I$2:$I$41,'Utrekning'!$D$6)&lt;INDEX('Utrekning'!$U$2:$U$41,'Utrekning'!$D$6)," ↓","")))))</f>
        <v/>
      </c>
      <c r="K13" s="39">
        <f>IF(OR($B13="",INDEX('Utrekning'!$J$2:$J$41,'Utrekning'!$D$6)=0),"",CHOOSE(INDEX('Utrekning'!$J$2:$J$41,'Utrekning'!$D$6),"●","▲","■")&amp;IF(INDEX('Utrekning'!$AH$2:$AH$41,'Utrekning'!$D$6)&gt;1," "&amp;INDEX('Utrekning'!$AH$2:$AH$41,'Utrekning'!$D$6),"")&amp;IF($C$6="","",IF(INDEX('Utrekning'!$V$2:$V$41,'Utrekning'!$D$6)=0," ✱",IF(INDEX('Utrekning'!$J$2:$J$41,'Utrekning'!$D$6)&gt;INDEX('Utrekning'!$V$2:$V$41,'Utrekning'!$D$6)," ↑",IF(INDEX('Utrekning'!$J$2:$J$41,'Utrekning'!$D$6)&lt;INDEX('Utrekning'!$V$2:$V$41,'Utrekning'!$D$6)," ↓","")))))</f>
        <v/>
      </c>
      <c r="L13" s="39">
        <f>IF(OR($B13="",INDEX('Utrekning'!$K$2:$K$41,'Utrekning'!$D$6)=0),"",CHOOSE(INDEX('Utrekning'!$K$2:$K$41,'Utrekning'!$D$6),"●","▲","■")&amp;IF(INDEX('Utrekning'!$AI$2:$AI$41,'Utrekning'!$D$6)&gt;1," "&amp;INDEX('Utrekning'!$AI$2:$AI$41,'Utrekning'!$D$6),"")&amp;IF($C$6="","",IF(INDEX('Utrekning'!$W$2:$W$41,'Utrekning'!$D$6)=0," ✱",IF(INDEX('Utrekning'!$K$2:$K$41,'Utrekning'!$D$6)&gt;INDEX('Utrekning'!$W$2:$W$41,'Utrekning'!$D$6)," ↑",IF(INDEX('Utrekning'!$K$2:$K$41,'Utrekning'!$D$6)&lt;INDEX('Utrekning'!$W$2:$W$41,'Utrekning'!$D$6)," ↓","")))))</f>
        <v/>
      </c>
      <c r="M13" s="39">
        <f>IF(OR($B13="",INDEX('Utrekning'!$L$2:$L$41,'Utrekning'!$D$6)=0),"",CHOOSE(INDEX('Utrekning'!$L$2:$L$41,'Utrekning'!$D$6),"●","▲","■")&amp;IF(INDEX('Utrekning'!$AJ$2:$AJ$41,'Utrekning'!$D$6)&gt;1," "&amp;INDEX('Utrekning'!$AJ$2:$AJ$41,'Utrekning'!$D$6),"")&amp;IF($C$6="","",IF(INDEX('Utrekning'!$X$2:$X$41,'Utrekning'!$D$6)=0," ✱",IF(INDEX('Utrekning'!$L$2:$L$41,'Utrekning'!$D$6)&gt;INDEX('Utrekning'!$X$2:$X$41,'Utrekning'!$D$6)," ↑",IF(INDEX('Utrekning'!$L$2:$L$41,'Utrekning'!$D$6)&lt;INDEX('Utrekning'!$X$2:$X$41,'Utrekning'!$D$6)," ↓","")))))</f>
        <v/>
      </c>
      <c r="N13" s="39">
        <f>IF(OR($B13="",INDEX('Utrekning'!$M$2:$M$41,'Utrekning'!$D$6)=0),"",CHOOSE(INDEX('Utrekning'!$M$2:$M$41,'Utrekning'!$D$6),"●","▲","■")&amp;IF(INDEX('Utrekning'!$AK$2:$AK$41,'Utrekning'!$D$6)&gt;1," "&amp;INDEX('Utrekning'!$AK$2:$AK$41,'Utrekning'!$D$6),"")&amp;IF($C$6="","",IF(INDEX('Utrekning'!$Y$2:$Y$41,'Utrekning'!$D$6)=0," ✱",IF(INDEX('Utrekning'!$M$2:$M$41,'Utrekning'!$D$6)&gt;INDEX('Utrekning'!$Y$2:$Y$41,'Utrekning'!$D$6)," ↑",IF(INDEX('Utrekning'!$M$2:$M$41,'Utrekning'!$D$6)&lt;INDEX('Utrekning'!$Y$2:$Y$41,'Utrekning'!$D$6)," ↓","")))))</f>
        <v/>
      </c>
      <c r="O13" s="39">
        <f>IF(OR($B13="",INDEX('Utrekning'!$N$2:$N$41,'Utrekning'!$D$6)=0),"",CHOOSE(INDEX('Utrekning'!$N$2:$N$41,'Utrekning'!$D$6),"●","▲","■")&amp;IF(INDEX('Utrekning'!$AL$2:$AL$41,'Utrekning'!$D$6)&gt;1," "&amp;INDEX('Utrekning'!$AL$2:$AL$41,'Utrekning'!$D$6),"")&amp;IF($C$6="","",IF(INDEX('Utrekning'!$Z$2:$Z$41,'Utrekning'!$D$6)=0," ✱",IF(INDEX('Utrekning'!$N$2:$N$41,'Utrekning'!$D$6)&gt;INDEX('Utrekning'!$Z$2:$Z$41,'Utrekning'!$D$6)," ↑",IF(INDEX('Utrekning'!$N$2:$N$41,'Utrekning'!$D$6)&lt;INDEX('Utrekning'!$Z$2:$Z$41,'Utrekning'!$D$6)," ↓","")))))</f>
        <v/>
      </c>
      <c r="P13" s="39">
        <f>IF(OR($B13="",INDEX('Utrekning'!$O$2:$O$41,'Utrekning'!$D$6)=0),"",CHOOSE(INDEX('Utrekning'!$O$2:$O$41,'Utrekning'!$D$6),"●","▲","■")&amp;IF(INDEX('Utrekning'!$AM$2:$AM$41,'Utrekning'!$D$6)&gt;1," "&amp;INDEX('Utrekning'!$AM$2:$AM$41,'Utrekning'!$D$6),"")&amp;IF($C$6="","",IF(INDEX('Utrekning'!$AA$2:$AA$41,'Utrekning'!$D$6)=0," ✱",IF(INDEX('Utrekning'!$O$2:$O$41,'Utrekning'!$D$6)&gt;INDEX('Utrekning'!$AA$2:$AA$41,'Utrekning'!$D$6)," ↑",IF(INDEX('Utrekning'!$O$2:$O$41,'Utrekning'!$D$6)&lt;INDEX('Utrekning'!$AA$2:$AA$41,'Utrekning'!$D$6)," ↓","")))))</f>
        <v/>
      </c>
      <c r="Q13" s="39">
        <f>IF(OR($B13="",INDEX('Utrekning'!$P$2:$P$41,'Utrekning'!$D$6)=0),"",CHOOSE(INDEX('Utrekning'!$P$2:$P$41,'Utrekning'!$D$6),"●","▲","■")&amp;IF(INDEX('Utrekning'!$AN$2:$AN$41,'Utrekning'!$D$6)&gt;1," "&amp;INDEX('Utrekning'!$AN$2:$AN$41,'Utrekning'!$D$6),"")&amp;IF($C$6="","",IF(INDEX('Utrekning'!$AB$2:$AB$41,'Utrekning'!$D$6)=0," ✱",IF(INDEX('Utrekning'!$P$2:$P$41,'Utrekning'!$D$6)&gt;INDEX('Utrekning'!$AB$2:$AB$41,'Utrekning'!$D$6)," ↑",IF(INDEX('Utrekning'!$P$2:$P$41,'Utrekning'!$D$6)&lt;INDEX('Utrekning'!$AB$2:$AB$41,'Utrekning'!$D$6)," ↓","")))))</f>
        <v/>
      </c>
    </row>
    <row r="14" ht="22" customHeight="1">
      <c r="B14" s="37">
        <f>IFERROR(INDEX('Utrekning'!$B$2:$B$41,'Utrekning'!$D$7),"")</f>
        <v/>
      </c>
      <c r="C14" s="38">
        <f>IF($B14="","",COUNTIF(INDEX('Utrekning'!$E$2:$P$41,'Utrekning'!$D$7,0),3))</f>
        <v/>
      </c>
      <c r="D14" s="38">
        <f>IF($B14="","",COUNTIF(INDEX('Utrekning'!$E$2:$P$41,'Utrekning'!$D$7,0),2))</f>
        <v/>
      </c>
      <c r="E14" s="38">
        <f>IF($B14="","",COUNTIFS('Tiltak'!$B$2:$B$251,$C$5,'Tiltak'!$C$2:$C$251,$B14,'Tiltak'!$E$2:$E$251,"&lt;&gt;",'Tiltak'!$H$2:$H$251,"&lt;&gt;Avslutta",'Tiltak'!$H$2:$H$251,"&lt;&gt;Avsluttet"))</f>
        <v/>
      </c>
      <c r="F14" s="39">
        <f>IF(OR($B14="",INDEX('Utrekning'!$E$2:$E$41,'Utrekning'!$D$7)=0),"",CHOOSE(INDEX('Utrekning'!$E$2:$E$41,'Utrekning'!$D$7),"●","▲","■")&amp;IF(INDEX('Utrekning'!$AC$2:$AC$41,'Utrekning'!$D$7)&gt;1," "&amp;INDEX('Utrekning'!$AC$2:$AC$41,'Utrekning'!$D$7),"")&amp;IF($C$6="","",IF(INDEX('Utrekning'!$Q$2:$Q$41,'Utrekning'!$D$7)=0," ✱",IF(INDEX('Utrekning'!$E$2:$E$41,'Utrekning'!$D$7)&gt;INDEX('Utrekning'!$Q$2:$Q$41,'Utrekning'!$D$7)," ↑",IF(INDEX('Utrekning'!$E$2:$E$41,'Utrekning'!$D$7)&lt;INDEX('Utrekning'!$Q$2:$Q$41,'Utrekning'!$D$7)," ↓","")))))</f>
        <v/>
      </c>
      <c r="G14" s="39">
        <f>IF(OR($B14="",INDEX('Utrekning'!$F$2:$F$41,'Utrekning'!$D$7)=0),"",CHOOSE(INDEX('Utrekning'!$F$2:$F$41,'Utrekning'!$D$7),"●","▲","■")&amp;IF(INDEX('Utrekning'!$AD$2:$AD$41,'Utrekning'!$D$7)&gt;1," "&amp;INDEX('Utrekning'!$AD$2:$AD$41,'Utrekning'!$D$7),"")&amp;IF($C$6="","",IF(INDEX('Utrekning'!$R$2:$R$41,'Utrekning'!$D$7)=0," ✱",IF(INDEX('Utrekning'!$F$2:$F$41,'Utrekning'!$D$7)&gt;INDEX('Utrekning'!$R$2:$R$41,'Utrekning'!$D$7)," ↑",IF(INDEX('Utrekning'!$F$2:$F$41,'Utrekning'!$D$7)&lt;INDEX('Utrekning'!$R$2:$R$41,'Utrekning'!$D$7)," ↓","")))))</f>
        <v/>
      </c>
      <c r="H14" s="39">
        <f>IF(OR($B14="",INDEX('Utrekning'!$G$2:$G$41,'Utrekning'!$D$7)=0),"",CHOOSE(INDEX('Utrekning'!$G$2:$G$41,'Utrekning'!$D$7),"●","▲","■")&amp;IF(INDEX('Utrekning'!$AE$2:$AE$41,'Utrekning'!$D$7)&gt;1," "&amp;INDEX('Utrekning'!$AE$2:$AE$41,'Utrekning'!$D$7),"")&amp;IF($C$6="","",IF(INDEX('Utrekning'!$S$2:$S$41,'Utrekning'!$D$7)=0," ✱",IF(INDEX('Utrekning'!$G$2:$G$41,'Utrekning'!$D$7)&gt;INDEX('Utrekning'!$S$2:$S$41,'Utrekning'!$D$7)," ↑",IF(INDEX('Utrekning'!$G$2:$G$41,'Utrekning'!$D$7)&lt;INDEX('Utrekning'!$S$2:$S$41,'Utrekning'!$D$7)," ↓","")))))</f>
        <v/>
      </c>
      <c r="I14" s="39">
        <f>IF(OR($B14="",INDEX('Utrekning'!$H$2:$H$41,'Utrekning'!$D$7)=0),"",CHOOSE(INDEX('Utrekning'!$H$2:$H$41,'Utrekning'!$D$7),"●","▲","■")&amp;IF(INDEX('Utrekning'!$AF$2:$AF$41,'Utrekning'!$D$7)&gt;1," "&amp;INDEX('Utrekning'!$AF$2:$AF$41,'Utrekning'!$D$7),"")&amp;IF($C$6="","",IF(INDEX('Utrekning'!$T$2:$T$41,'Utrekning'!$D$7)=0," ✱",IF(INDEX('Utrekning'!$H$2:$H$41,'Utrekning'!$D$7)&gt;INDEX('Utrekning'!$T$2:$T$41,'Utrekning'!$D$7)," ↑",IF(INDEX('Utrekning'!$H$2:$H$41,'Utrekning'!$D$7)&lt;INDEX('Utrekning'!$T$2:$T$41,'Utrekning'!$D$7)," ↓","")))))</f>
        <v/>
      </c>
      <c r="J14" s="39">
        <f>IF(OR($B14="",INDEX('Utrekning'!$I$2:$I$41,'Utrekning'!$D$7)=0),"",CHOOSE(INDEX('Utrekning'!$I$2:$I$41,'Utrekning'!$D$7),"●","▲","■")&amp;IF(INDEX('Utrekning'!$AG$2:$AG$41,'Utrekning'!$D$7)&gt;1," "&amp;INDEX('Utrekning'!$AG$2:$AG$41,'Utrekning'!$D$7),"")&amp;IF($C$6="","",IF(INDEX('Utrekning'!$U$2:$U$41,'Utrekning'!$D$7)=0," ✱",IF(INDEX('Utrekning'!$I$2:$I$41,'Utrekning'!$D$7)&gt;INDEX('Utrekning'!$U$2:$U$41,'Utrekning'!$D$7)," ↑",IF(INDEX('Utrekning'!$I$2:$I$41,'Utrekning'!$D$7)&lt;INDEX('Utrekning'!$U$2:$U$41,'Utrekning'!$D$7)," ↓","")))))</f>
        <v/>
      </c>
      <c r="K14" s="39">
        <f>IF(OR($B14="",INDEX('Utrekning'!$J$2:$J$41,'Utrekning'!$D$7)=0),"",CHOOSE(INDEX('Utrekning'!$J$2:$J$41,'Utrekning'!$D$7),"●","▲","■")&amp;IF(INDEX('Utrekning'!$AH$2:$AH$41,'Utrekning'!$D$7)&gt;1," "&amp;INDEX('Utrekning'!$AH$2:$AH$41,'Utrekning'!$D$7),"")&amp;IF($C$6="","",IF(INDEX('Utrekning'!$V$2:$V$41,'Utrekning'!$D$7)=0," ✱",IF(INDEX('Utrekning'!$J$2:$J$41,'Utrekning'!$D$7)&gt;INDEX('Utrekning'!$V$2:$V$41,'Utrekning'!$D$7)," ↑",IF(INDEX('Utrekning'!$J$2:$J$41,'Utrekning'!$D$7)&lt;INDEX('Utrekning'!$V$2:$V$41,'Utrekning'!$D$7)," ↓","")))))</f>
        <v/>
      </c>
      <c r="L14" s="39">
        <f>IF(OR($B14="",INDEX('Utrekning'!$K$2:$K$41,'Utrekning'!$D$7)=0),"",CHOOSE(INDEX('Utrekning'!$K$2:$K$41,'Utrekning'!$D$7),"●","▲","■")&amp;IF(INDEX('Utrekning'!$AI$2:$AI$41,'Utrekning'!$D$7)&gt;1," "&amp;INDEX('Utrekning'!$AI$2:$AI$41,'Utrekning'!$D$7),"")&amp;IF($C$6="","",IF(INDEX('Utrekning'!$W$2:$W$41,'Utrekning'!$D$7)=0," ✱",IF(INDEX('Utrekning'!$K$2:$K$41,'Utrekning'!$D$7)&gt;INDEX('Utrekning'!$W$2:$W$41,'Utrekning'!$D$7)," ↑",IF(INDEX('Utrekning'!$K$2:$K$41,'Utrekning'!$D$7)&lt;INDEX('Utrekning'!$W$2:$W$41,'Utrekning'!$D$7)," ↓","")))))</f>
        <v/>
      </c>
      <c r="M14" s="39">
        <f>IF(OR($B14="",INDEX('Utrekning'!$L$2:$L$41,'Utrekning'!$D$7)=0),"",CHOOSE(INDEX('Utrekning'!$L$2:$L$41,'Utrekning'!$D$7),"●","▲","■")&amp;IF(INDEX('Utrekning'!$AJ$2:$AJ$41,'Utrekning'!$D$7)&gt;1," "&amp;INDEX('Utrekning'!$AJ$2:$AJ$41,'Utrekning'!$D$7),"")&amp;IF($C$6="","",IF(INDEX('Utrekning'!$X$2:$X$41,'Utrekning'!$D$7)=0," ✱",IF(INDEX('Utrekning'!$L$2:$L$41,'Utrekning'!$D$7)&gt;INDEX('Utrekning'!$X$2:$X$41,'Utrekning'!$D$7)," ↑",IF(INDEX('Utrekning'!$L$2:$L$41,'Utrekning'!$D$7)&lt;INDEX('Utrekning'!$X$2:$X$41,'Utrekning'!$D$7)," ↓","")))))</f>
        <v/>
      </c>
      <c r="N14" s="39">
        <f>IF(OR($B14="",INDEX('Utrekning'!$M$2:$M$41,'Utrekning'!$D$7)=0),"",CHOOSE(INDEX('Utrekning'!$M$2:$M$41,'Utrekning'!$D$7),"●","▲","■")&amp;IF(INDEX('Utrekning'!$AK$2:$AK$41,'Utrekning'!$D$7)&gt;1," "&amp;INDEX('Utrekning'!$AK$2:$AK$41,'Utrekning'!$D$7),"")&amp;IF($C$6="","",IF(INDEX('Utrekning'!$Y$2:$Y$41,'Utrekning'!$D$7)=0," ✱",IF(INDEX('Utrekning'!$M$2:$M$41,'Utrekning'!$D$7)&gt;INDEX('Utrekning'!$Y$2:$Y$41,'Utrekning'!$D$7)," ↑",IF(INDEX('Utrekning'!$M$2:$M$41,'Utrekning'!$D$7)&lt;INDEX('Utrekning'!$Y$2:$Y$41,'Utrekning'!$D$7)," ↓","")))))</f>
        <v/>
      </c>
      <c r="O14" s="39">
        <f>IF(OR($B14="",INDEX('Utrekning'!$N$2:$N$41,'Utrekning'!$D$7)=0),"",CHOOSE(INDEX('Utrekning'!$N$2:$N$41,'Utrekning'!$D$7),"●","▲","■")&amp;IF(INDEX('Utrekning'!$AL$2:$AL$41,'Utrekning'!$D$7)&gt;1," "&amp;INDEX('Utrekning'!$AL$2:$AL$41,'Utrekning'!$D$7),"")&amp;IF($C$6="","",IF(INDEX('Utrekning'!$Z$2:$Z$41,'Utrekning'!$D$7)=0," ✱",IF(INDEX('Utrekning'!$N$2:$N$41,'Utrekning'!$D$7)&gt;INDEX('Utrekning'!$Z$2:$Z$41,'Utrekning'!$D$7)," ↑",IF(INDEX('Utrekning'!$N$2:$N$41,'Utrekning'!$D$7)&lt;INDEX('Utrekning'!$Z$2:$Z$41,'Utrekning'!$D$7)," ↓","")))))</f>
        <v/>
      </c>
      <c r="P14" s="39">
        <f>IF(OR($B14="",INDEX('Utrekning'!$O$2:$O$41,'Utrekning'!$D$7)=0),"",CHOOSE(INDEX('Utrekning'!$O$2:$O$41,'Utrekning'!$D$7),"●","▲","■")&amp;IF(INDEX('Utrekning'!$AM$2:$AM$41,'Utrekning'!$D$7)&gt;1," "&amp;INDEX('Utrekning'!$AM$2:$AM$41,'Utrekning'!$D$7),"")&amp;IF($C$6="","",IF(INDEX('Utrekning'!$AA$2:$AA$41,'Utrekning'!$D$7)=0," ✱",IF(INDEX('Utrekning'!$O$2:$O$41,'Utrekning'!$D$7)&gt;INDEX('Utrekning'!$AA$2:$AA$41,'Utrekning'!$D$7)," ↑",IF(INDEX('Utrekning'!$O$2:$O$41,'Utrekning'!$D$7)&lt;INDEX('Utrekning'!$AA$2:$AA$41,'Utrekning'!$D$7)," ↓","")))))</f>
        <v/>
      </c>
      <c r="Q14" s="39">
        <f>IF(OR($B14="",INDEX('Utrekning'!$P$2:$P$41,'Utrekning'!$D$7)=0),"",CHOOSE(INDEX('Utrekning'!$P$2:$P$41,'Utrekning'!$D$7),"●","▲","■")&amp;IF(INDEX('Utrekning'!$AN$2:$AN$41,'Utrekning'!$D$7)&gt;1," "&amp;INDEX('Utrekning'!$AN$2:$AN$41,'Utrekning'!$D$7),"")&amp;IF($C$6="","",IF(INDEX('Utrekning'!$AB$2:$AB$41,'Utrekning'!$D$7)=0," ✱",IF(INDEX('Utrekning'!$P$2:$P$41,'Utrekning'!$D$7)&gt;INDEX('Utrekning'!$AB$2:$AB$41,'Utrekning'!$D$7)," ↑",IF(INDEX('Utrekning'!$P$2:$P$41,'Utrekning'!$D$7)&lt;INDEX('Utrekning'!$AB$2:$AB$41,'Utrekning'!$D$7)," ↓","")))))</f>
        <v/>
      </c>
    </row>
    <row r="15" ht="22" customHeight="1">
      <c r="B15" s="37">
        <f>IFERROR(INDEX('Utrekning'!$B$2:$B$41,'Utrekning'!$D$8),"")</f>
        <v/>
      </c>
      <c r="C15" s="38">
        <f>IF($B15="","",COUNTIF(INDEX('Utrekning'!$E$2:$P$41,'Utrekning'!$D$8,0),3))</f>
        <v/>
      </c>
      <c r="D15" s="38">
        <f>IF($B15="","",COUNTIF(INDEX('Utrekning'!$E$2:$P$41,'Utrekning'!$D$8,0),2))</f>
        <v/>
      </c>
      <c r="E15" s="38">
        <f>IF($B15="","",COUNTIFS('Tiltak'!$B$2:$B$251,$C$5,'Tiltak'!$C$2:$C$251,$B15,'Tiltak'!$E$2:$E$251,"&lt;&gt;",'Tiltak'!$H$2:$H$251,"&lt;&gt;Avslutta",'Tiltak'!$H$2:$H$251,"&lt;&gt;Avsluttet"))</f>
        <v/>
      </c>
      <c r="F15" s="39">
        <f>IF(OR($B15="",INDEX('Utrekning'!$E$2:$E$41,'Utrekning'!$D$8)=0),"",CHOOSE(INDEX('Utrekning'!$E$2:$E$41,'Utrekning'!$D$8),"●","▲","■")&amp;IF(INDEX('Utrekning'!$AC$2:$AC$41,'Utrekning'!$D$8)&gt;1," "&amp;INDEX('Utrekning'!$AC$2:$AC$41,'Utrekning'!$D$8),"")&amp;IF($C$6="","",IF(INDEX('Utrekning'!$Q$2:$Q$41,'Utrekning'!$D$8)=0," ✱",IF(INDEX('Utrekning'!$E$2:$E$41,'Utrekning'!$D$8)&gt;INDEX('Utrekning'!$Q$2:$Q$41,'Utrekning'!$D$8)," ↑",IF(INDEX('Utrekning'!$E$2:$E$41,'Utrekning'!$D$8)&lt;INDEX('Utrekning'!$Q$2:$Q$41,'Utrekning'!$D$8)," ↓","")))))</f>
        <v/>
      </c>
      <c r="G15" s="39">
        <f>IF(OR($B15="",INDEX('Utrekning'!$F$2:$F$41,'Utrekning'!$D$8)=0),"",CHOOSE(INDEX('Utrekning'!$F$2:$F$41,'Utrekning'!$D$8),"●","▲","■")&amp;IF(INDEX('Utrekning'!$AD$2:$AD$41,'Utrekning'!$D$8)&gt;1," "&amp;INDEX('Utrekning'!$AD$2:$AD$41,'Utrekning'!$D$8),"")&amp;IF($C$6="","",IF(INDEX('Utrekning'!$R$2:$R$41,'Utrekning'!$D$8)=0," ✱",IF(INDEX('Utrekning'!$F$2:$F$41,'Utrekning'!$D$8)&gt;INDEX('Utrekning'!$R$2:$R$41,'Utrekning'!$D$8)," ↑",IF(INDEX('Utrekning'!$F$2:$F$41,'Utrekning'!$D$8)&lt;INDEX('Utrekning'!$R$2:$R$41,'Utrekning'!$D$8)," ↓","")))))</f>
        <v/>
      </c>
      <c r="H15" s="39">
        <f>IF(OR($B15="",INDEX('Utrekning'!$G$2:$G$41,'Utrekning'!$D$8)=0),"",CHOOSE(INDEX('Utrekning'!$G$2:$G$41,'Utrekning'!$D$8),"●","▲","■")&amp;IF(INDEX('Utrekning'!$AE$2:$AE$41,'Utrekning'!$D$8)&gt;1," "&amp;INDEX('Utrekning'!$AE$2:$AE$41,'Utrekning'!$D$8),"")&amp;IF($C$6="","",IF(INDEX('Utrekning'!$S$2:$S$41,'Utrekning'!$D$8)=0," ✱",IF(INDEX('Utrekning'!$G$2:$G$41,'Utrekning'!$D$8)&gt;INDEX('Utrekning'!$S$2:$S$41,'Utrekning'!$D$8)," ↑",IF(INDEX('Utrekning'!$G$2:$G$41,'Utrekning'!$D$8)&lt;INDEX('Utrekning'!$S$2:$S$41,'Utrekning'!$D$8)," ↓","")))))</f>
        <v/>
      </c>
      <c r="I15" s="39">
        <f>IF(OR($B15="",INDEX('Utrekning'!$H$2:$H$41,'Utrekning'!$D$8)=0),"",CHOOSE(INDEX('Utrekning'!$H$2:$H$41,'Utrekning'!$D$8),"●","▲","■")&amp;IF(INDEX('Utrekning'!$AF$2:$AF$41,'Utrekning'!$D$8)&gt;1," "&amp;INDEX('Utrekning'!$AF$2:$AF$41,'Utrekning'!$D$8),"")&amp;IF($C$6="","",IF(INDEX('Utrekning'!$T$2:$T$41,'Utrekning'!$D$8)=0," ✱",IF(INDEX('Utrekning'!$H$2:$H$41,'Utrekning'!$D$8)&gt;INDEX('Utrekning'!$T$2:$T$41,'Utrekning'!$D$8)," ↑",IF(INDEX('Utrekning'!$H$2:$H$41,'Utrekning'!$D$8)&lt;INDEX('Utrekning'!$T$2:$T$41,'Utrekning'!$D$8)," ↓","")))))</f>
        <v/>
      </c>
      <c r="J15" s="39">
        <f>IF(OR($B15="",INDEX('Utrekning'!$I$2:$I$41,'Utrekning'!$D$8)=0),"",CHOOSE(INDEX('Utrekning'!$I$2:$I$41,'Utrekning'!$D$8),"●","▲","■")&amp;IF(INDEX('Utrekning'!$AG$2:$AG$41,'Utrekning'!$D$8)&gt;1," "&amp;INDEX('Utrekning'!$AG$2:$AG$41,'Utrekning'!$D$8),"")&amp;IF($C$6="","",IF(INDEX('Utrekning'!$U$2:$U$41,'Utrekning'!$D$8)=0," ✱",IF(INDEX('Utrekning'!$I$2:$I$41,'Utrekning'!$D$8)&gt;INDEX('Utrekning'!$U$2:$U$41,'Utrekning'!$D$8)," ↑",IF(INDEX('Utrekning'!$I$2:$I$41,'Utrekning'!$D$8)&lt;INDEX('Utrekning'!$U$2:$U$41,'Utrekning'!$D$8)," ↓","")))))</f>
        <v/>
      </c>
      <c r="K15" s="39">
        <f>IF(OR($B15="",INDEX('Utrekning'!$J$2:$J$41,'Utrekning'!$D$8)=0),"",CHOOSE(INDEX('Utrekning'!$J$2:$J$41,'Utrekning'!$D$8),"●","▲","■")&amp;IF(INDEX('Utrekning'!$AH$2:$AH$41,'Utrekning'!$D$8)&gt;1," "&amp;INDEX('Utrekning'!$AH$2:$AH$41,'Utrekning'!$D$8),"")&amp;IF($C$6="","",IF(INDEX('Utrekning'!$V$2:$V$41,'Utrekning'!$D$8)=0," ✱",IF(INDEX('Utrekning'!$J$2:$J$41,'Utrekning'!$D$8)&gt;INDEX('Utrekning'!$V$2:$V$41,'Utrekning'!$D$8)," ↑",IF(INDEX('Utrekning'!$J$2:$J$41,'Utrekning'!$D$8)&lt;INDEX('Utrekning'!$V$2:$V$41,'Utrekning'!$D$8)," ↓","")))))</f>
        <v/>
      </c>
      <c r="L15" s="39">
        <f>IF(OR($B15="",INDEX('Utrekning'!$K$2:$K$41,'Utrekning'!$D$8)=0),"",CHOOSE(INDEX('Utrekning'!$K$2:$K$41,'Utrekning'!$D$8),"●","▲","■")&amp;IF(INDEX('Utrekning'!$AI$2:$AI$41,'Utrekning'!$D$8)&gt;1," "&amp;INDEX('Utrekning'!$AI$2:$AI$41,'Utrekning'!$D$8),"")&amp;IF($C$6="","",IF(INDEX('Utrekning'!$W$2:$W$41,'Utrekning'!$D$8)=0," ✱",IF(INDEX('Utrekning'!$K$2:$K$41,'Utrekning'!$D$8)&gt;INDEX('Utrekning'!$W$2:$W$41,'Utrekning'!$D$8)," ↑",IF(INDEX('Utrekning'!$K$2:$K$41,'Utrekning'!$D$8)&lt;INDEX('Utrekning'!$W$2:$W$41,'Utrekning'!$D$8)," ↓","")))))</f>
        <v/>
      </c>
      <c r="M15" s="39">
        <f>IF(OR($B15="",INDEX('Utrekning'!$L$2:$L$41,'Utrekning'!$D$8)=0),"",CHOOSE(INDEX('Utrekning'!$L$2:$L$41,'Utrekning'!$D$8),"●","▲","■")&amp;IF(INDEX('Utrekning'!$AJ$2:$AJ$41,'Utrekning'!$D$8)&gt;1," "&amp;INDEX('Utrekning'!$AJ$2:$AJ$41,'Utrekning'!$D$8),"")&amp;IF($C$6="","",IF(INDEX('Utrekning'!$X$2:$X$41,'Utrekning'!$D$8)=0," ✱",IF(INDEX('Utrekning'!$L$2:$L$41,'Utrekning'!$D$8)&gt;INDEX('Utrekning'!$X$2:$X$41,'Utrekning'!$D$8)," ↑",IF(INDEX('Utrekning'!$L$2:$L$41,'Utrekning'!$D$8)&lt;INDEX('Utrekning'!$X$2:$X$41,'Utrekning'!$D$8)," ↓","")))))</f>
        <v/>
      </c>
      <c r="N15" s="39">
        <f>IF(OR($B15="",INDEX('Utrekning'!$M$2:$M$41,'Utrekning'!$D$8)=0),"",CHOOSE(INDEX('Utrekning'!$M$2:$M$41,'Utrekning'!$D$8),"●","▲","■")&amp;IF(INDEX('Utrekning'!$AK$2:$AK$41,'Utrekning'!$D$8)&gt;1," "&amp;INDEX('Utrekning'!$AK$2:$AK$41,'Utrekning'!$D$8),"")&amp;IF($C$6="","",IF(INDEX('Utrekning'!$Y$2:$Y$41,'Utrekning'!$D$8)=0," ✱",IF(INDEX('Utrekning'!$M$2:$M$41,'Utrekning'!$D$8)&gt;INDEX('Utrekning'!$Y$2:$Y$41,'Utrekning'!$D$8)," ↑",IF(INDEX('Utrekning'!$M$2:$M$41,'Utrekning'!$D$8)&lt;INDEX('Utrekning'!$Y$2:$Y$41,'Utrekning'!$D$8)," ↓","")))))</f>
        <v/>
      </c>
      <c r="O15" s="39">
        <f>IF(OR($B15="",INDEX('Utrekning'!$N$2:$N$41,'Utrekning'!$D$8)=0),"",CHOOSE(INDEX('Utrekning'!$N$2:$N$41,'Utrekning'!$D$8),"●","▲","■")&amp;IF(INDEX('Utrekning'!$AL$2:$AL$41,'Utrekning'!$D$8)&gt;1," "&amp;INDEX('Utrekning'!$AL$2:$AL$41,'Utrekning'!$D$8),"")&amp;IF($C$6="","",IF(INDEX('Utrekning'!$Z$2:$Z$41,'Utrekning'!$D$8)=0," ✱",IF(INDEX('Utrekning'!$N$2:$N$41,'Utrekning'!$D$8)&gt;INDEX('Utrekning'!$Z$2:$Z$41,'Utrekning'!$D$8)," ↑",IF(INDEX('Utrekning'!$N$2:$N$41,'Utrekning'!$D$8)&lt;INDEX('Utrekning'!$Z$2:$Z$41,'Utrekning'!$D$8)," ↓","")))))</f>
        <v/>
      </c>
      <c r="P15" s="39">
        <f>IF(OR($B15="",INDEX('Utrekning'!$O$2:$O$41,'Utrekning'!$D$8)=0),"",CHOOSE(INDEX('Utrekning'!$O$2:$O$41,'Utrekning'!$D$8),"●","▲","■")&amp;IF(INDEX('Utrekning'!$AM$2:$AM$41,'Utrekning'!$D$8)&gt;1," "&amp;INDEX('Utrekning'!$AM$2:$AM$41,'Utrekning'!$D$8),"")&amp;IF($C$6="","",IF(INDEX('Utrekning'!$AA$2:$AA$41,'Utrekning'!$D$8)=0," ✱",IF(INDEX('Utrekning'!$O$2:$O$41,'Utrekning'!$D$8)&gt;INDEX('Utrekning'!$AA$2:$AA$41,'Utrekning'!$D$8)," ↑",IF(INDEX('Utrekning'!$O$2:$O$41,'Utrekning'!$D$8)&lt;INDEX('Utrekning'!$AA$2:$AA$41,'Utrekning'!$D$8)," ↓","")))))</f>
        <v/>
      </c>
      <c r="Q15" s="39">
        <f>IF(OR($B15="",INDEX('Utrekning'!$P$2:$P$41,'Utrekning'!$D$8)=0),"",CHOOSE(INDEX('Utrekning'!$P$2:$P$41,'Utrekning'!$D$8),"●","▲","■")&amp;IF(INDEX('Utrekning'!$AN$2:$AN$41,'Utrekning'!$D$8)&gt;1," "&amp;INDEX('Utrekning'!$AN$2:$AN$41,'Utrekning'!$D$8),"")&amp;IF($C$6="","",IF(INDEX('Utrekning'!$AB$2:$AB$41,'Utrekning'!$D$8)=0," ✱",IF(INDEX('Utrekning'!$P$2:$P$41,'Utrekning'!$D$8)&gt;INDEX('Utrekning'!$AB$2:$AB$41,'Utrekning'!$D$8)," ↑",IF(INDEX('Utrekning'!$P$2:$P$41,'Utrekning'!$D$8)&lt;INDEX('Utrekning'!$AB$2:$AB$41,'Utrekning'!$D$8)," ↓","")))))</f>
        <v/>
      </c>
    </row>
    <row r="16" ht="22" customHeight="1">
      <c r="B16" s="37">
        <f>IFERROR(INDEX('Utrekning'!$B$2:$B$41,'Utrekning'!$D$9),"")</f>
        <v/>
      </c>
      <c r="C16" s="38">
        <f>IF($B16="","",COUNTIF(INDEX('Utrekning'!$E$2:$P$41,'Utrekning'!$D$9,0),3))</f>
        <v/>
      </c>
      <c r="D16" s="38">
        <f>IF($B16="","",COUNTIF(INDEX('Utrekning'!$E$2:$P$41,'Utrekning'!$D$9,0),2))</f>
        <v/>
      </c>
      <c r="E16" s="38">
        <f>IF($B16="","",COUNTIFS('Tiltak'!$B$2:$B$251,$C$5,'Tiltak'!$C$2:$C$251,$B16,'Tiltak'!$E$2:$E$251,"&lt;&gt;",'Tiltak'!$H$2:$H$251,"&lt;&gt;Avslutta",'Tiltak'!$H$2:$H$251,"&lt;&gt;Avsluttet"))</f>
        <v/>
      </c>
      <c r="F16" s="39">
        <f>IF(OR($B16="",INDEX('Utrekning'!$E$2:$E$41,'Utrekning'!$D$9)=0),"",CHOOSE(INDEX('Utrekning'!$E$2:$E$41,'Utrekning'!$D$9),"●","▲","■")&amp;IF(INDEX('Utrekning'!$AC$2:$AC$41,'Utrekning'!$D$9)&gt;1," "&amp;INDEX('Utrekning'!$AC$2:$AC$41,'Utrekning'!$D$9),"")&amp;IF($C$6="","",IF(INDEX('Utrekning'!$Q$2:$Q$41,'Utrekning'!$D$9)=0," ✱",IF(INDEX('Utrekning'!$E$2:$E$41,'Utrekning'!$D$9)&gt;INDEX('Utrekning'!$Q$2:$Q$41,'Utrekning'!$D$9)," ↑",IF(INDEX('Utrekning'!$E$2:$E$41,'Utrekning'!$D$9)&lt;INDEX('Utrekning'!$Q$2:$Q$41,'Utrekning'!$D$9)," ↓","")))))</f>
        <v/>
      </c>
      <c r="G16" s="39">
        <f>IF(OR($B16="",INDEX('Utrekning'!$F$2:$F$41,'Utrekning'!$D$9)=0),"",CHOOSE(INDEX('Utrekning'!$F$2:$F$41,'Utrekning'!$D$9),"●","▲","■")&amp;IF(INDEX('Utrekning'!$AD$2:$AD$41,'Utrekning'!$D$9)&gt;1," "&amp;INDEX('Utrekning'!$AD$2:$AD$41,'Utrekning'!$D$9),"")&amp;IF($C$6="","",IF(INDEX('Utrekning'!$R$2:$R$41,'Utrekning'!$D$9)=0," ✱",IF(INDEX('Utrekning'!$F$2:$F$41,'Utrekning'!$D$9)&gt;INDEX('Utrekning'!$R$2:$R$41,'Utrekning'!$D$9)," ↑",IF(INDEX('Utrekning'!$F$2:$F$41,'Utrekning'!$D$9)&lt;INDEX('Utrekning'!$R$2:$R$41,'Utrekning'!$D$9)," ↓","")))))</f>
        <v/>
      </c>
      <c r="H16" s="39">
        <f>IF(OR($B16="",INDEX('Utrekning'!$G$2:$G$41,'Utrekning'!$D$9)=0),"",CHOOSE(INDEX('Utrekning'!$G$2:$G$41,'Utrekning'!$D$9),"●","▲","■")&amp;IF(INDEX('Utrekning'!$AE$2:$AE$41,'Utrekning'!$D$9)&gt;1," "&amp;INDEX('Utrekning'!$AE$2:$AE$41,'Utrekning'!$D$9),"")&amp;IF($C$6="","",IF(INDEX('Utrekning'!$S$2:$S$41,'Utrekning'!$D$9)=0," ✱",IF(INDEX('Utrekning'!$G$2:$G$41,'Utrekning'!$D$9)&gt;INDEX('Utrekning'!$S$2:$S$41,'Utrekning'!$D$9)," ↑",IF(INDEX('Utrekning'!$G$2:$G$41,'Utrekning'!$D$9)&lt;INDEX('Utrekning'!$S$2:$S$41,'Utrekning'!$D$9)," ↓","")))))</f>
        <v/>
      </c>
      <c r="I16" s="39">
        <f>IF(OR($B16="",INDEX('Utrekning'!$H$2:$H$41,'Utrekning'!$D$9)=0),"",CHOOSE(INDEX('Utrekning'!$H$2:$H$41,'Utrekning'!$D$9),"●","▲","■")&amp;IF(INDEX('Utrekning'!$AF$2:$AF$41,'Utrekning'!$D$9)&gt;1," "&amp;INDEX('Utrekning'!$AF$2:$AF$41,'Utrekning'!$D$9),"")&amp;IF($C$6="","",IF(INDEX('Utrekning'!$T$2:$T$41,'Utrekning'!$D$9)=0," ✱",IF(INDEX('Utrekning'!$H$2:$H$41,'Utrekning'!$D$9)&gt;INDEX('Utrekning'!$T$2:$T$41,'Utrekning'!$D$9)," ↑",IF(INDEX('Utrekning'!$H$2:$H$41,'Utrekning'!$D$9)&lt;INDEX('Utrekning'!$T$2:$T$41,'Utrekning'!$D$9)," ↓","")))))</f>
        <v/>
      </c>
      <c r="J16" s="39">
        <f>IF(OR($B16="",INDEX('Utrekning'!$I$2:$I$41,'Utrekning'!$D$9)=0),"",CHOOSE(INDEX('Utrekning'!$I$2:$I$41,'Utrekning'!$D$9),"●","▲","■")&amp;IF(INDEX('Utrekning'!$AG$2:$AG$41,'Utrekning'!$D$9)&gt;1," "&amp;INDEX('Utrekning'!$AG$2:$AG$41,'Utrekning'!$D$9),"")&amp;IF($C$6="","",IF(INDEX('Utrekning'!$U$2:$U$41,'Utrekning'!$D$9)=0," ✱",IF(INDEX('Utrekning'!$I$2:$I$41,'Utrekning'!$D$9)&gt;INDEX('Utrekning'!$U$2:$U$41,'Utrekning'!$D$9)," ↑",IF(INDEX('Utrekning'!$I$2:$I$41,'Utrekning'!$D$9)&lt;INDEX('Utrekning'!$U$2:$U$41,'Utrekning'!$D$9)," ↓","")))))</f>
        <v/>
      </c>
      <c r="K16" s="39">
        <f>IF(OR($B16="",INDEX('Utrekning'!$J$2:$J$41,'Utrekning'!$D$9)=0),"",CHOOSE(INDEX('Utrekning'!$J$2:$J$41,'Utrekning'!$D$9),"●","▲","■")&amp;IF(INDEX('Utrekning'!$AH$2:$AH$41,'Utrekning'!$D$9)&gt;1," "&amp;INDEX('Utrekning'!$AH$2:$AH$41,'Utrekning'!$D$9),"")&amp;IF($C$6="","",IF(INDEX('Utrekning'!$V$2:$V$41,'Utrekning'!$D$9)=0," ✱",IF(INDEX('Utrekning'!$J$2:$J$41,'Utrekning'!$D$9)&gt;INDEX('Utrekning'!$V$2:$V$41,'Utrekning'!$D$9)," ↑",IF(INDEX('Utrekning'!$J$2:$J$41,'Utrekning'!$D$9)&lt;INDEX('Utrekning'!$V$2:$V$41,'Utrekning'!$D$9)," ↓","")))))</f>
        <v/>
      </c>
      <c r="L16" s="39">
        <f>IF(OR($B16="",INDEX('Utrekning'!$K$2:$K$41,'Utrekning'!$D$9)=0),"",CHOOSE(INDEX('Utrekning'!$K$2:$K$41,'Utrekning'!$D$9),"●","▲","■")&amp;IF(INDEX('Utrekning'!$AI$2:$AI$41,'Utrekning'!$D$9)&gt;1," "&amp;INDEX('Utrekning'!$AI$2:$AI$41,'Utrekning'!$D$9),"")&amp;IF($C$6="","",IF(INDEX('Utrekning'!$W$2:$W$41,'Utrekning'!$D$9)=0," ✱",IF(INDEX('Utrekning'!$K$2:$K$41,'Utrekning'!$D$9)&gt;INDEX('Utrekning'!$W$2:$W$41,'Utrekning'!$D$9)," ↑",IF(INDEX('Utrekning'!$K$2:$K$41,'Utrekning'!$D$9)&lt;INDEX('Utrekning'!$W$2:$W$41,'Utrekning'!$D$9)," ↓","")))))</f>
        <v/>
      </c>
      <c r="M16" s="39">
        <f>IF(OR($B16="",INDEX('Utrekning'!$L$2:$L$41,'Utrekning'!$D$9)=0),"",CHOOSE(INDEX('Utrekning'!$L$2:$L$41,'Utrekning'!$D$9),"●","▲","■")&amp;IF(INDEX('Utrekning'!$AJ$2:$AJ$41,'Utrekning'!$D$9)&gt;1," "&amp;INDEX('Utrekning'!$AJ$2:$AJ$41,'Utrekning'!$D$9),"")&amp;IF($C$6="","",IF(INDEX('Utrekning'!$X$2:$X$41,'Utrekning'!$D$9)=0," ✱",IF(INDEX('Utrekning'!$L$2:$L$41,'Utrekning'!$D$9)&gt;INDEX('Utrekning'!$X$2:$X$41,'Utrekning'!$D$9)," ↑",IF(INDEX('Utrekning'!$L$2:$L$41,'Utrekning'!$D$9)&lt;INDEX('Utrekning'!$X$2:$X$41,'Utrekning'!$D$9)," ↓","")))))</f>
        <v/>
      </c>
      <c r="N16" s="39">
        <f>IF(OR($B16="",INDEX('Utrekning'!$M$2:$M$41,'Utrekning'!$D$9)=0),"",CHOOSE(INDEX('Utrekning'!$M$2:$M$41,'Utrekning'!$D$9),"●","▲","■")&amp;IF(INDEX('Utrekning'!$AK$2:$AK$41,'Utrekning'!$D$9)&gt;1," "&amp;INDEX('Utrekning'!$AK$2:$AK$41,'Utrekning'!$D$9),"")&amp;IF($C$6="","",IF(INDEX('Utrekning'!$Y$2:$Y$41,'Utrekning'!$D$9)=0," ✱",IF(INDEX('Utrekning'!$M$2:$M$41,'Utrekning'!$D$9)&gt;INDEX('Utrekning'!$Y$2:$Y$41,'Utrekning'!$D$9)," ↑",IF(INDEX('Utrekning'!$M$2:$M$41,'Utrekning'!$D$9)&lt;INDEX('Utrekning'!$Y$2:$Y$41,'Utrekning'!$D$9)," ↓","")))))</f>
        <v/>
      </c>
      <c r="O16" s="39">
        <f>IF(OR($B16="",INDEX('Utrekning'!$N$2:$N$41,'Utrekning'!$D$9)=0),"",CHOOSE(INDEX('Utrekning'!$N$2:$N$41,'Utrekning'!$D$9),"●","▲","■")&amp;IF(INDEX('Utrekning'!$AL$2:$AL$41,'Utrekning'!$D$9)&gt;1," "&amp;INDEX('Utrekning'!$AL$2:$AL$41,'Utrekning'!$D$9),"")&amp;IF($C$6="","",IF(INDEX('Utrekning'!$Z$2:$Z$41,'Utrekning'!$D$9)=0," ✱",IF(INDEX('Utrekning'!$N$2:$N$41,'Utrekning'!$D$9)&gt;INDEX('Utrekning'!$Z$2:$Z$41,'Utrekning'!$D$9)," ↑",IF(INDEX('Utrekning'!$N$2:$N$41,'Utrekning'!$D$9)&lt;INDEX('Utrekning'!$Z$2:$Z$41,'Utrekning'!$D$9)," ↓","")))))</f>
        <v/>
      </c>
      <c r="P16" s="39">
        <f>IF(OR($B16="",INDEX('Utrekning'!$O$2:$O$41,'Utrekning'!$D$9)=0),"",CHOOSE(INDEX('Utrekning'!$O$2:$O$41,'Utrekning'!$D$9),"●","▲","■")&amp;IF(INDEX('Utrekning'!$AM$2:$AM$41,'Utrekning'!$D$9)&gt;1," "&amp;INDEX('Utrekning'!$AM$2:$AM$41,'Utrekning'!$D$9),"")&amp;IF($C$6="","",IF(INDEX('Utrekning'!$AA$2:$AA$41,'Utrekning'!$D$9)=0," ✱",IF(INDEX('Utrekning'!$O$2:$O$41,'Utrekning'!$D$9)&gt;INDEX('Utrekning'!$AA$2:$AA$41,'Utrekning'!$D$9)," ↑",IF(INDEX('Utrekning'!$O$2:$O$41,'Utrekning'!$D$9)&lt;INDEX('Utrekning'!$AA$2:$AA$41,'Utrekning'!$D$9)," ↓","")))))</f>
        <v/>
      </c>
      <c r="Q16" s="39">
        <f>IF(OR($B16="",INDEX('Utrekning'!$P$2:$P$41,'Utrekning'!$D$9)=0),"",CHOOSE(INDEX('Utrekning'!$P$2:$P$41,'Utrekning'!$D$9),"●","▲","■")&amp;IF(INDEX('Utrekning'!$AN$2:$AN$41,'Utrekning'!$D$9)&gt;1," "&amp;INDEX('Utrekning'!$AN$2:$AN$41,'Utrekning'!$D$9),"")&amp;IF($C$6="","",IF(INDEX('Utrekning'!$AB$2:$AB$41,'Utrekning'!$D$9)=0," ✱",IF(INDEX('Utrekning'!$P$2:$P$41,'Utrekning'!$D$9)&gt;INDEX('Utrekning'!$AB$2:$AB$41,'Utrekning'!$D$9)," ↑",IF(INDEX('Utrekning'!$P$2:$P$41,'Utrekning'!$D$9)&lt;INDEX('Utrekning'!$AB$2:$AB$41,'Utrekning'!$D$9)," ↓","")))))</f>
        <v/>
      </c>
    </row>
    <row r="17" ht="22" customHeight="1">
      <c r="B17" s="37">
        <f>IFERROR(INDEX('Utrekning'!$B$2:$B$41,'Utrekning'!$D$10),"")</f>
        <v/>
      </c>
      <c r="C17" s="38">
        <f>IF($B17="","",COUNTIF(INDEX('Utrekning'!$E$2:$P$41,'Utrekning'!$D$10,0),3))</f>
        <v/>
      </c>
      <c r="D17" s="38">
        <f>IF($B17="","",COUNTIF(INDEX('Utrekning'!$E$2:$P$41,'Utrekning'!$D$10,0),2))</f>
        <v/>
      </c>
      <c r="E17" s="38">
        <f>IF($B17="","",COUNTIFS('Tiltak'!$B$2:$B$251,$C$5,'Tiltak'!$C$2:$C$251,$B17,'Tiltak'!$E$2:$E$251,"&lt;&gt;",'Tiltak'!$H$2:$H$251,"&lt;&gt;Avslutta",'Tiltak'!$H$2:$H$251,"&lt;&gt;Avsluttet"))</f>
        <v/>
      </c>
      <c r="F17" s="39">
        <f>IF(OR($B17="",INDEX('Utrekning'!$E$2:$E$41,'Utrekning'!$D$10)=0),"",CHOOSE(INDEX('Utrekning'!$E$2:$E$41,'Utrekning'!$D$10),"●","▲","■")&amp;IF(INDEX('Utrekning'!$AC$2:$AC$41,'Utrekning'!$D$10)&gt;1," "&amp;INDEX('Utrekning'!$AC$2:$AC$41,'Utrekning'!$D$10),"")&amp;IF($C$6="","",IF(INDEX('Utrekning'!$Q$2:$Q$41,'Utrekning'!$D$10)=0," ✱",IF(INDEX('Utrekning'!$E$2:$E$41,'Utrekning'!$D$10)&gt;INDEX('Utrekning'!$Q$2:$Q$41,'Utrekning'!$D$10)," ↑",IF(INDEX('Utrekning'!$E$2:$E$41,'Utrekning'!$D$10)&lt;INDEX('Utrekning'!$Q$2:$Q$41,'Utrekning'!$D$10)," ↓","")))))</f>
        <v/>
      </c>
      <c r="G17" s="39">
        <f>IF(OR($B17="",INDEX('Utrekning'!$F$2:$F$41,'Utrekning'!$D$10)=0),"",CHOOSE(INDEX('Utrekning'!$F$2:$F$41,'Utrekning'!$D$10),"●","▲","■")&amp;IF(INDEX('Utrekning'!$AD$2:$AD$41,'Utrekning'!$D$10)&gt;1," "&amp;INDEX('Utrekning'!$AD$2:$AD$41,'Utrekning'!$D$10),"")&amp;IF($C$6="","",IF(INDEX('Utrekning'!$R$2:$R$41,'Utrekning'!$D$10)=0," ✱",IF(INDEX('Utrekning'!$F$2:$F$41,'Utrekning'!$D$10)&gt;INDEX('Utrekning'!$R$2:$R$41,'Utrekning'!$D$10)," ↑",IF(INDEX('Utrekning'!$F$2:$F$41,'Utrekning'!$D$10)&lt;INDEX('Utrekning'!$R$2:$R$41,'Utrekning'!$D$10)," ↓","")))))</f>
        <v/>
      </c>
      <c r="H17" s="39">
        <f>IF(OR($B17="",INDEX('Utrekning'!$G$2:$G$41,'Utrekning'!$D$10)=0),"",CHOOSE(INDEX('Utrekning'!$G$2:$G$41,'Utrekning'!$D$10),"●","▲","■")&amp;IF(INDEX('Utrekning'!$AE$2:$AE$41,'Utrekning'!$D$10)&gt;1," "&amp;INDEX('Utrekning'!$AE$2:$AE$41,'Utrekning'!$D$10),"")&amp;IF($C$6="","",IF(INDEX('Utrekning'!$S$2:$S$41,'Utrekning'!$D$10)=0," ✱",IF(INDEX('Utrekning'!$G$2:$G$41,'Utrekning'!$D$10)&gt;INDEX('Utrekning'!$S$2:$S$41,'Utrekning'!$D$10)," ↑",IF(INDEX('Utrekning'!$G$2:$G$41,'Utrekning'!$D$10)&lt;INDEX('Utrekning'!$S$2:$S$41,'Utrekning'!$D$10)," ↓","")))))</f>
        <v/>
      </c>
      <c r="I17" s="39">
        <f>IF(OR($B17="",INDEX('Utrekning'!$H$2:$H$41,'Utrekning'!$D$10)=0),"",CHOOSE(INDEX('Utrekning'!$H$2:$H$41,'Utrekning'!$D$10),"●","▲","■")&amp;IF(INDEX('Utrekning'!$AF$2:$AF$41,'Utrekning'!$D$10)&gt;1," "&amp;INDEX('Utrekning'!$AF$2:$AF$41,'Utrekning'!$D$10),"")&amp;IF($C$6="","",IF(INDEX('Utrekning'!$T$2:$T$41,'Utrekning'!$D$10)=0," ✱",IF(INDEX('Utrekning'!$H$2:$H$41,'Utrekning'!$D$10)&gt;INDEX('Utrekning'!$T$2:$T$41,'Utrekning'!$D$10)," ↑",IF(INDEX('Utrekning'!$H$2:$H$41,'Utrekning'!$D$10)&lt;INDEX('Utrekning'!$T$2:$T$41,'Utrekning'!$D$10)," ↓","")))))</f>
        <v/>
      </c>
      <c r="J17" s="39">
        <f>IF(OR($B17="",INDEX('Utrekning'!$I$2:$I$41,'Utrekning'!$D$10)=0),"",CHOOSE(INDEX('Utrekning'!$I$2:$I$41,'Utrekning'!$D$10),"●","▲","■")&amp;IF(INDEX('Utrekning'!$AG$2:$AG$41,'Utrekning'!$D$10)&gt;1," "&amp;INDEX('Utrekning'!$AG$2:$AG$41,'Utrekning'!$D$10),"")&amp;IF($C$6="","",IF(INDEX('Utrekning'!$U$2:$U$41,'Utrekning'!$D$10)=0," ✱",IF(INDEX('Utrekning'!$I$2:$I$41,'Utrekning'!$D$10)&gt;INDEX('Utrekning'!$U$2:$U$41,'Utrekning'!$D$10)," ↑",IF(INDEX('Utrekning'!$I$2:$I$41,'Utrekning'!$D$10)&lt;INDEX('Utrekning'!$U$2:$U$41,'Utrekning'!$D$10)," ↓","")))))</f>
        <v/>
      </c>
      <c r="K17" s="39">
        <f>IF(OR($B17="",INDEX('Utrekning'!$J$2:$J$41,'Utrekning'!$D$10)=0),"",CHOOSE(INDEX('Utrekning'!$J$2:$J$41,'Utrekning'!$D$10),"●","▲","■")&amp;IF(INDEX('Utrekning'!$AH$2:$AH$41,'Utrekning'!$D$10)&gt;1," "&amp;INDEX('Utrekning'!$AH$2:$AH$41,'Utrekning'!$D$10),"")&amp;IF($C$6="","",IF(INDEX('Utrekning'!$V$2:$V$41,'Utrekning'!$D$10)=0," ✱",IF(INDEX('Utrekning'!$J$2:$J$41,'Utrekning'!$D$10)&gt;INDEX('Utrekning'!$V$2:$V$41,'Utrekning'!$D$10)," ↑",IF(INDEX('Utrekning'!$J$2:$J$41,'Utrekning'!$D$10)&lt;INDEX('Utrekning'!$V$2:$V$41,'Utrekning'!$D$10)," ↓","")))))</f>
        <v/>
      </c>
      <c r="L17" s="39">
        <f>IF(OR($B17="",INDEX('Utrekning'!$K$2:$K$41,'Utrekning'!$D$10)=0),"",CHOOSE(INDEX('Utrekning'!$K$2:$K$41,'Utrekning'!$D$10),"●","▲","■")&amp;IF(INDEX('Utrekning'!$AI$2:$AI$41,'Utrekning'!$D$10)&gt;1," "&amp;INDEX('Utrekning'!$AI$2:$AI$41,'Utrekning'!$D$10),"")&amp;IF($C$6="","",IF(INDEX('Utrekning'!$W$2:$W$41,'Utrekning'!$D$10)=0," ✱",IF(INDEX('Utrekning'!$K$2:$K$41,'Utrekning'!$D$10)&gt;INDEX('Utrekning'!$W$2:$W$41,'Utrekning'!$D$10)," ↑",IF(INDEX('Utrekning'!$K$2:$K$41,'Utrekning'!$D$10)&lt;INDEX('Utrekning'!$W$2:$W$41,'Utrekning'!$D$10)," ↓","")))))</f>
        <v/>
      </c>
      <c r="M17" s="39">
        <f>IF(OR($B17="",INDEX('Utrekning'!$L$2:$L$41,'Utrekning'!$D$10)=0),"",CHOOSE(INDEX('Utrekning'!$L$2:$L$41,'Utrekning'!$D$10),"●","▲","■")&amp;IF(INDEX('Utrekning'!$AJ$2:$AJ$41,'Utrekning'!$D$10)&gt;1," "&amp;INDEX('Utrekning'!$AJ$2:$AJ$41,'Utrekning'!$D$10),"")&amp;IF($C$6="","",IF(INDEX('Utrekning'!$X$2:$X$41,'Utrekning'!$D$10)=0," ✱",IF(INDEX('Utrekning'!$L$2:$L$41,'Utrekning'!$D$10)&gt;INDEX('Utrekning'!$X$2:$X$41,'Utrekning'!$D$10)," ↑",IF(INDEX('Utrekning'!$L$2:$L$41,'Utrekning'!$D$10)&lt;INDEX('Utrekning'!$X$2:$X$41,'Utrekning'!$D$10)," ↓","")))))</f>
        <v/>
      </c>
      <c r="N17" s="39">
        <f>IF(OR($B17="",INDEX('Utrekning'!$M$2:$M$41,'Utrekning'!$D$10)=0),"",CHOOSE(INDEX('Utrekning'!$M$2:$M$41,'Utrekning'!$D$10),"●","▲","■")&amp;IF(INDEX('Utrekning'!$AK$2:$AK$41,'Utrekning'!$D$10)&gt;1," "&amp;INDEX('Utrekning'!$AK$2:$AK$41,'Utrekning'!$D$10),"")&amp;IF($C$6="","",IF(INDEX('Utrekning'!$Y$2:$Y$41,'Utrekning'!$D$10)=0," ✱",IF(INDEX('Utrekning'!$M$2:$M$41,'Utrekning'!$D$10)&gt;INDEX('Utrekning'!$Y$2:$Y$41,'Utrekning'!$D$10)," ↑",IF(INDEX('Utrekning'!$M$2:$M$41,'Utrekning'!$D$10)&lt;INDEX('Utrekning'!$Y$2:$Y$41,'Utrekning'!$D$10)," ↓","")))))</f>
        <v/>
      </c>
      <c r="O17" s="39">
        <f>IF(OR($B17="",INDEX('Utrekning'!$N$2:$N$41,'Utrekning'!$D$10)=0),"",CHOOSE(INDEX('Utrekning'!$N$2:$N$41,'Utrekning'!$D$10),"●","▲","■")&amp;IF(INDEX('Utrekning'!$AL$2:$AL$41,'Utrekning'!$D$10)&gt;1," "&amp;INDEX('Utrekning'!$AL$2:$AL$41,'Utrekning'!$D$10),"")&amp;IF($C$6="","",IF(INDEX('Utrekning'!$Z$2:$Z$41,'Utrekning'!$D$10)=0," ✱",IF(INDEX('Utrekning'!$N$2:$N$41,'Utrekning'!$D$10)&gt;INDEX('Utrekning'!$Z$2:$Z$41,'Utrekning'!$D$10)," ↑",IF(INDEX('Utrekning'!$N$2:$N$41,'Utrekning'!$D$10)&lt;INDEX('Utrekning'!$Z$2:$Z$41,'Utrekning'!$D$10)," ↓","")))))</f>
        <v/>
      </c>
      <c r="P17" s="39">
        <f>IF(OR($B17="",INDEX('Utrekning'!$O$2:$O$41,'Utrekning'!$D$10)=0),"",CHOOSE(INDEX('Utrekning'!$O$2:$O$41,'Utrekning'!$D$10),"●","▲","■")&amp;IF(INDEX('Utrekning'!$AM$2:$AM$41,'Utrekning'!$D$10)&gt;1," "&amp;INDEX('Utrekning'!$AM$2:$AM$41,'Utrekning'!$D$10),"")&amp;IF($C$6="","",IF(INDEX('Utrekning'!$AA$2:$AA$41,'Utrekning'!$D$10)=0," ✱",IF(INDEX('Utrekning'!$O$2:$O$41,'Utrekning'!$D$10)&gt;INDEX('Utrekning'!$AA$2:$AA$41,'Utrekning'!$D$10)," ↑",IF(INDEX('Utrekning'!$O$2:$O$41,'Utrekning'!$D$10)&lt;INDEX('Utrekning'!$AA$2:$AA$41,'Utrekning'!$D$10)," ↓","")))))</f>
        <v/>
      </c>
      <c r="Q17" s="39">
        <f>IF(OR($B17="",INDEX('Utrekning'!$P$2:$P$41,'Utrekning'!$D$10)=0),"",CHOOSE(INDEX('Utrekning'!$P$2:$P$41,'Utrekning'!$D$10),"●","▲","■")&amp;IF(INDEX('Utrekning'!$AN$2:$AN$41,'Utrekning'!$D$10)&gt;1," "&amp;INDEX('Utrekning'!$AN$2:$AN$41,'Utrekning'!$D$10),"")&amp;IF($C$6="","",IF(INDEX('Utrekning'!$AB$2:$AB$41,'Utrekning'!$D$10)=0," ✱",IF(INDEX('Utrekning'!$P$2:$P$41,'Utrekning'!$D$10)&gt;INDEX('Utrekning'!$AB$2:$AB$41,'Utrekning'!$D$10)," ↑",IF(INDEX('Utrekning'!$P$2:$P$41,'Utrekning'!$D$10)&lt;INDEX('Utrekning'!$AB$2:$AB$41,'Utrekning'!$D$10)," ↓","")))))</f>
        <v/>
      </c>
    </row>
    <row r="18" ht="22" customHeight="1">
      <c r="B18" s="37">
        <f>IFERROR(INDEX('Utrekning'!$B$2:$B$41,'Utrekning'!$D$11),"")</f>
        <v/>
      </c>
      <c r="C18" s="38">
        <f>IF($B18="","",COUNTIF(INDEX('Utrekning'!$E$2:$P$41,'Utrekning'!$D$11,0),3))</f>
        <v/>
      </c>
      <c r="D18" s="38">
        <f>IF($B18="","",COUNTIF(INDEX('Utrekning'!$E$2:$P$41,'Utrekning'!$D$11,0),2))</f>
        <v/>
      </c>
      <c r="E18" s="38">
        <f>IF($B18="","",COUNTIFS('Tiltak'!$B$2:$B$251,$C$5,'Tiltak'!$C$2:$C$251,$B18,'Tiltak'!$E$2:$E$251,"&lt;&gt;",'Tiltak'!$H$2:$H$251,"&lt;&gt;Avslutta",'Tiltak'!$H$2:$H$251,"&lt;&gt;Avsluttet"))</f>
        <v/>
      </c>
      <c r="F18" s="39">
        <f>IF(OR($B18="",INDEX('Utrekning'!$E$2:$E$41,'Utrekning'!$D$11)=0),"",CHOOSE(INDEX('Utrekning'!$E$2:$E$41,'Utrekning'!$D$11),"●","▲","■")&amp;IF(INDEX('Utrekning'!$AC$2:$AC$41,'Utrekning'!$D$11)&gt;1," "&amp;INDEX('Utrekning'!$AC$2:$AC$41,'Utrekning'!$D$11),"")&amp;IF($C$6="","",IF(INDEX('Utrekning'!$Q$2:$Q$41,'Utrekning'!$D$11)=0," ✱",IF(INDEX('Utrekning'!$E$2:$E$41,'Utrekning'!$D$11)&gt;INDEX('Utrekning'!$Q$2:$Q$41,'Utrekning'!$D$11)," ↑",IF(INDEX('Utrekning'!$E$2:$E$41,'Utrekning'!$D$11)&lt;INDEX('Utrekning'!$Q$2:$Q$41,'Utrekning'!$D$11)," ↓","")))))</f>
        <v/>
      </c>
      <c r="G18" s="39">
        <f>IF(OR($B18="",INDEX('Utrekning'!$F$2:$F$41,'Utrekning'!$D$11)=0),"",CHOOSE(INDEX('Utrekning'!$F$2:$F$41,'Utrekning'!$D$11),"●","▲","■")&amp;IF(INDEX('Utrekning'!$AD$2:$AD$41,'Utrekning'!$D$11)&gt;1," "&amp;INDEX('Utrekning'!$AD$2:$AD$41,'Utrekning'!$D$11),"")&amp;IF($C$6="","",IF(INDEX('Utrekning'!$R$2:$R$41,'Utrekning'!$D$11)=0," ✱",IF(INDEX('Utrekning'!$F$2:$F$41,'Utrekning'!$D$11)&gt;INDEX('Utrekning'!$R$2:$R$41,'Utrekning'!$D$11)," ↑",IF(INDEX('Utrekning'!$F$2:$F$41,'Utrekning'!$D$11)&lt;INDEX('Utrekning'!$R$2:$R$41,'Utrekning'!$D$11)," ↓","")))))</f>
        <v/>
      </c>
      <c r="H18" s="39">
        <f>IF(OR($B18="",INDEX('Utrekning'!$G$2:$G$41,'Utrekning'!$D$11)=0),"",CHOOSE(INDEX('Utrekning'!$G$2:$G$41,'Utrekning'!$D$11),"●","▲","■")&amp;IF(INDEX('Utrekning'!$AE$2:$AE$41,'Utrekning'!$D$11)&gt;1," "&amp;INDEX('Utrekning'!$AE$2:$AE$41,'Utrekning'!$D$11),"")&amp;IF($C$6="","",IF(INDEX('Utrekning'!$S$2:$S$41,'Utrekning'!$D$11)=0," ✱",IF(INDEX('Utrekning'!$G$2:$G$41,'Utrekning'!$D$11)&gt;INDEX('Utrekning'!$S$2:$S$41,'Utrekning'!$D$11)," ↑",IF(INDEX('Utrekning'!$G$2:$G$41,'Utrekning'!$D$11)&lt;INDEX('Utrekning'!$S$2:$S$41,'Utrekning'!$D$11)," ↓","")))))</f>
        <v/>
      </c>
      <c r="I18" s="39">
        <f>IF(OR($B18="",INDEX('Utrekning'!$H$2:$H$41,'Utrekning'!$D$11)=0),"",CHOOSE(INDEX('Utrekning'!$H$2:$H$41,'Utrekning'!$D$11),"●","▲","■")&amp;IF(INDEX('Utrekning'!$AF$2:$AF$41,'Utrekning'!$D$11)&gt;1," "&amp;INDEX('Utrekning'!$AF$2:$AF$41,'Utrekning'!$D$11),"")&amp;IF($C$6="","",IF(INDEX('Utrekning'!$T$2:$T$41,'Utrekning'!$D$11)=0," ✱",IF(INDEX('Utrekning'!$H$2:$H$41,'Utrekning'!$D$11)&gt;INDEX('Utrekning'!$T$2:$T$41,'Utrekning'!$D$11)," ↑",IF(INDEX('Utrekning'!$H$2:$H$41,'Utrekning'!$D$11)&lt;INDEX('Utrekning'!$T$2:$T$41,'Utrekning'!$D$11)," ↓","")))))</f>
        <v/>
      </c>
      <c r="J18" s="39">
        <f>IF(OR($B18="",INDEX('Utrekning'!$I$2:$I$41,'Utrekning'!$D$11)=0),"",CHOOSE(INDEX('Utrekning'!$I$2:$I$41,'Utrekning'!$D$11),"●","▲","■")&amp;IF(INDEX('Utrekning'!$AG$2:$AG$41,'Utrekning'!$D$11)&gt;1," "&amp;INDEX('Utrekning'!$AG$2:$AG$41,'Utrekning'!$D$11),"")&amp;IF($C$6="","",IF(INDEX('Utrekning'!$U$2:$U$41,'Utrekning'!$D$11)=0," ✱",IF(INDEX('Utrekning'!$I$2:$I$41,'Utrekning'!$D$11)&gt;INDEX('Utrekning'!$U$2:$U$41,'Utrekning'!$D$11)," ↑",IF(INDEX('Utrekning'!$I$2:$I$41,'Utrekning'!$D$11)&lt;INDEX('Utrekning'!$U$2:$U$41,'Utrekning'!$D$11)," ↓","")))))</f>
        <v/>
      </c>
      <c r="K18" s="39">
        <f>IF(OR($B18="",INDEX('Utrekning'!$J$2:$J$41,'Utrekning'!$D$11)=0),"",CHOOSE(INDEX('Utrekning'!$J$2:$J$41,'Utrekning'!$D$11),"●","▲","■")&amp;IF(INDEX('Utrekning'!$AH$2:$AH$41,'Utrekning'!$D$11)&gt;1," "&amp;INDEX('Utrekning'!$AH$2:$AH$41,'Utrekning'!$D$11),"")&amp;IF($C$6="","",IF(INDEX('Utrekning'!$V$2:$V$41,'Utrekning'!$D$11)=0," ✱",IF(INDEX('Utrekning'!$J$2:$J$41,'Utrekning'!$D$11)&gt;INDEX('Utrekning'!$V$2:$V$41,'Utrekning'!$D$11)," ↑",IF(INDEX('Utrekning'!$J$2:$J$41,'Utrekning'!$D$11)&lt;INDEX('Utrekning'!$V$2:$V$41,'Utrekning'!$D$11)," ↓","")))))</f>
        <v/>
      </c>
      <c r="L18" s="39">
        <f>IF(OR($B18="",INDEX('Utrekning'!$K$2:$K$41,'Utrekning'!$D$11)=0),"",CHOOSE(INDEX('Utrekning'!$K$2:$K$41,'Utrekning'!$D$11),"●","▲","■")&amp;IF(INDEX('Utrekning'!$AI$2:$AI$41,'Utrekning'!$D$11)&gt;1," "&amp;INDEX('Utrekning'!$AI$2:$AI$41,'Utrekning'!$D$11),"")&amp;IF($C$6="","",IF(INDEX('Utrekning'!$W$2:$W$41,'Utrekning'!$D$11)=0," ✱",IF(INDEX('Utrekning'!$K$2:$K$41,'Utrekning'!$D$11)&gt;INDEX('Utrekning'!$W$2:$W$41,'Utrekning'!$D$11)," ↑",IF(INDEX('Utrekning'!$K$2:$K$41,'Utrekning'!$D$11)&lt;INDEX('Utrekning'!$W$2:$W$41,'Utrekning'!$D$11)," ↓","")))))</f>
        <v/>
      </c>
      <c r="M18" s="39">
        <f>IF(OR($B18="",INDEX('Utrekning'!$L$2:$L$41,'Utrekning'!$D$11)=0),"",CHOOSE(INDEX('Utrekning'!$L$2:$L$41,'Utrekning'!$D$11),"●","▲","■")&amp;IF(INDEX('Utrekning'!$AJ$2:$AJ$41,'Utrekning'!$D$11)&gt;1," "&amp;INDEX('Utrekning'!$AJ$2:$AJ$41,'Utrekning'!$D$11),"")&amp;IF($C$6="","",IF(INDEX('Utrekning'!$X$2:$X$41,'Utrekning'!$D$11)=0," ✱",IF(INDEX('Utrekning'!$L$2:$L$41,'Utrekning'!$D$11)&gt;INDEX('Utrekning'!$X$2:$X$41,'Utrekning'!$D$11)," ↑",IF(INDEX('Utrekning'!$L$2:$L$41,'Utrekning'!$D$11)&lt;INDEX('Utrekning'!$X$2:$X$41,'Utrekning'!$D$11)," ↓","")))))</f>
        <v/>
      </c>
      <c r="N18" s="39">
        <f>IF(OR($B18="",INDEX('Utrekning'!$M$2:$M$41,'Utrekning'!$D$11)=0),"",CHOOSE(INDEX('Utrekning'!$M$2:$M$41,'Utrekning'!$D$11),"●","▲","■")&amp;IF(INDEX('Utrekning'!$AK$2:$AK$41,'Utrekning'!$D$11)&gt;1," "&amp;INDEX('Utrekning'!$AK$2:$AK$41,'Utrekning'!$D$11),"")&amp;IF($C$6="","",IF(INDEX('Utrekning'!$Y$2:$Y$41,'Utrekning'!$D$11)=0," ✱",IF(INDEX('Utrekning'!$M$2:$M$41,'Utrekning'!$D$11)&gt;INDEX('Utrekning'!$Y$2:$Y$41,'Utrekning'!$D$11)," ↑",IF(INDEX('Utrekning'!$M$2:$M$41,'Utrekning'!$D$11)&lt;INDEX('Utrekning'!$Y$2:$Y$41,'Utrekning'!$D$11)," ↓","")))))</f>
        <v/>
      </c>
      <c r="O18" s="39">
        <f>IF(OR($B18="",INDEX('Utrekning'!$N$2:$N$41,'Utrekning'!$D$11)=0),"",CHOOSE(INDEX('Utrekning'!$N$2:$N$41,'Utrekning'!$D$11),"●","▲","■")&amp;IF(INDEX('Utrekning'!$AL$2:$AL$41,'Utrekning'!$D$11)&gt;1," "&amp;INDEX('Utrekning'!$AL$2:$AL$41,'Utrekning'!$D$11),"")&amp;IF($C$6="","",IF(INDEX('Utrekning'!$Z$2:$Z$41,'Utrekning'!$D$11)=0," ✱",IF(INDEX('Utrekning'!$N$2:$N$41,'Utrekning'!$D$11)&gt;INDEX('Utrekning'!$Z$2:$Z$41,'Utrekning'!$D$11)," ↑",IF(INDEX('Utrekning'!$N$2:$N$41,'Utrekning'!$D$11)&lt;INDEX('Utrekning'!$Z$2:$Z$41,'Utrekning'!$D$11)," ↓","")))))</f>
        <v/>
      </c>
      <c r="P18" s="39">
        <f>IF(OR($B18="",INDEX('Utrekning'!$O$2:$O$41,'Utrekning'!$D$11)=0),"",CHOOSE(INDEX('Utrekning'!$O$2:$O$41,'Utrekning'!$D$11),"●","▲","■")&amp;IF(INDEX('Utrekning'!$AM$2:$AM$41,'Utrekning'!$D$11)&gt;1," "&amp;INDEX('Utrekning'!$AM$2:$AM$41,'Utrekning'!$D$11),"")&amp;IF($C$6="","",IF(INDEX('Utrekning'!$AA$2:$AA$41,'Utrekning'!$D$11)=0," ✱",IF(INDEX('Utrekning'!$O$2:$O$41,'Utrekning'!$D$11)&gt;INDEX('Utrekning'!$AA$2:$AA$41,'Utrekning'!$D$11)," ↑",IF(INDEX('Utrekning'!$O$2:$O$41,'Utrekning'!$D$11)&lt;INDEX('Utrekning'!$AA$2:$AA$41,'Utrekning'!$D$11)," ↓","")))))</f>
        <v/>
      </c>
      <c r="Q18" s="39">
        <f>IF(OR($B18="",INDEX('Utrekning'!$P$2:$P$41,'Utrekning'!$D$11)=0),"",CHOOSE(INDEX('Utrekning'!$P$2:$P$41,'Utrekning'!$D$11),"●","▲","■")&amp;IF(INDEX('Utrekning'!$AN$2:$AN$41,'Utrekning'!$D$11)&gt;1," "&amp;INDEX('Utrekning'!$AN$2:$AN$41,'Utrekning'!$D$11),"")&amp;IF($C$6="","",IF(INDEX('Utrekning'!$AB$2:$AB$41,'Utrekning'!$D$11)=0," ✱",IF(INDEX('Utrekning'!$P$2:$P$41,'Utrekning'!$D$11)&gt;INDEX('Utrekning'!$AB$2:$AB$41,'Utrekning'!$D$11)," ↑",IF(INDEX('Utrekning'!$P$2:$P$41,'Utrekning'!$D$11)&lt;INDEX('Utrekning'!$AB$2:$AB$41,'Utrekning'!$D$11)," ↓","")))))</f>
        <v/>
      </c>
    </row>
    <row r="19" ht="22" customHeight="1">
      <c r="B19" s="37">
        <f>IFERROR(INDEX('Utrekning'!$B$2:$B$41,'Utrekning'!$D$12),"")</f>
        <v/>
      </c>
      <c r="C19" s="38">
        <f>IF($B19="","",COUNTIF(INDEX('Utrekning'!$E$2:$P$41,'Utrekning'!$D$12,0),3))</f>
        <v/>
      </c>
      <c r="D19" s="38">
        <f>IF($B19="","",COUNTIF(INDEX('Utrekning'!$E$2:$P$41,'Utrekning'!$D$12,0),2))</f>
        <v/>
      </c>
      <c r="E19" s="38">
        <f>IF($B19="","",COUNTIFS('Tiltak'!$B$2:$B$251,$C$5,'Tiltak'!$C$2:$C$251,$B19,'Tiltak'!$E$2:$E$251,"&lt;&gt;",'Tiltak'!$H$2:$H$251,"&lt;&gt;Avslutta",'Tiltak'!$H$2:$H$251,"&lt;&gt;Avsluttet"))</f>
        <v/>
      </c>
      <c r="F19" s="39">
        <f>IF(OR($B19="",INDEX('Utrekning'!$E$2:$E$41,'Utrekning'!$D$12)=0),"",CHOOSE(INDEX('Utrekning'!$E$2:$E$41,'Utrekning'!$D$12),"●","▲","■")&amp;IF(INDEX('Utrekning'!$AC$2:$AC$41,'Utrekning'!$D$12)&gt;1," "&amp;INDEX('Utrekning'!$AC$2:$AC$41,'Utrekning'!$D$12),"")&amp;IF($C$6="","",IF(INDEX('Utrekning'!$Q$2:$Q$41,'Utrekning'!$D$12)=0," ✱",IF(INDEX('Utrekning'!$E$2:$E$41,'Utrekning'!$D$12)&gt;INDEX('Utrekning'!$Q$2:$Q$41,'Utrekning'!$D$12)," ↑",IF(INDEX('Utrekning'!$E$2:$E$41,'Utrekning'!$D$12)&lt;INDEX('Utrekning'!$Q$2:$Q$41,'Utrekning'!$D$12)," ↓","")))))</f>
        <v/>
      </c>
      <c r="G19" s="39">
        <f>IF(OR($B19="",INDEX('Utrekning'!$F$2:$F$41,'Utrekning'!$D$12)=0),"",CHOOSE(INDEX('Utrekning'!$F$2:$F$41,'Utrekning'!$D$12),"●","▲","■")&amp;IF(INDEX('Utrekning'!$AD$2:$AD$41,'Utrekning'!$D$12)&gt;1," "&amp;INDEX('Utrekning'!$AD$2:$AD$41,'Utrekning'!$D$12),"")&amp;IF($C$6="","",IF(INDEX('Utrekning'!$R$2:$R$41,'Utrekning'!$D$12)=0," ✱",IF(INDEX('Utrekning'!$F$2:$F$41,'Utrekning'!$D$12)&gt;INDEX('Utrekning'!$R$2:$R$41,'Utrekning'!$D$12)," ↑",IF(INDEX('Utrekning'!$F$2:$F$41,'Utrekning'!$D$12)&lt;INDEX('Utrekning'!$R$2:$R$41,'Utrekning'!$D$12)," ↓","")))))</f>
        <v/>
      </c>
      <c r="H19" s="39">
        <f>IF(OR($B19="",INDEX('Utrekning'!$G$2:$G$41,'Utrekning'!$D$12)=0),"",CHOOSE(INDEX('Utrekning'!$G$2:$G$41,'Utrekning'!$D$12),"●","▲","■")&amp;IF(INDEX('Utrekning'!$AE$2:$AE$41,'Utrekning'!$D$12)&gt;1," "&amp;INDEX('Utrekning'!$AE$2:$AE$41,'Utrekning'!$D$12),"")&amp;IF($C$6="","",IF(INDEX('Utrekning'!$S$2:$S$41,'Utrekning'!$D$12)=0," ✱",IF(INDEX('Utrekning'!$G$2:$G$41,'Utrekning'!$D$12)&gt;INDEX('Utrekning'!$S$2:$S$41,'Utrekning'!$D$12)," ↑",IF(INDEX('Utrekning'!$G$2:$G$41,'Utrekning'!$D$12)&lt;INDEX('Utrekning'!$S$2:$S$41,'Utrekning'!$D$12)," ↓","")))))</f>
        <v/>
      </c>
      <c r="I19" s="39">
        <f>IF(OR($B19="",INDEX('Utrekning'!$H$2:$H$41,'Utrekning'!$D$12)=0),"",CHOOSE(INDEX('Utrekning'!$H$2:$H$41,'Utrekning'!$D$12),"●","▲","■")&amp;IF(INDEX('Utrekning'!$AF$2:$AF$41,'Utrekning'!$D$12)&gt;1," "&amp;INDEX('Utrekning'!$AF$2:$AF$41,'Utrekning'!$D$12),"")&amp;IF($C$6="","",IF(INDEX('Utrekning'!$T$2:$T$41,'Utrekning'!$D$12)=0," ✱",IF(INDEX('Utrekning'!$H$2:$H$41,'Utrekning'!$D$12)&gt;INDEX('Utrekning'!$T$2:$T$41,'Utrekning'!$D$12)," ↑",IF(INDEX('Utrekning'!$H$2:$H$41,'Utrekning'!$D$12)&lt;INDEX('Utrekning'!$T$2:$T$41,'Utrekning'!$D$12)," ↓","")))))</f>
        <v/>
      </c>
      <c r="J19" s="39">
        <f>IF(OR($B19="",INDEX('Utrekning'!$I$2:$I$41,'Utrekning'!$D$12)=0),"",CHOOSE(INDEX('Utrekning'!$I$2:$I$41,'Utrekning'!$D$12),"●","▲","■")&amp;IF(INDEX('Utrekning'!$AG$2:$AG$41,'Utrekning'!$D$12)&gt;1," "&amp;INDEX('Utrekning'!$AG$2:$AG$41,'Utrekning'!$D$12),"")&amp;IF($C$6="","",IF(INDEX('Utrekning'!$U$2:$U$41,'Utrekning'!$D$12)=0," ✱",IF(INDEX('Utrekning'!$I$2:$I$41,'Utrekning'!$D$12)&gt;INDEX('Utrekning'!$U$2:$U$41,'Utrekning'!$D$12)," ↑",IF(INDEX('Utrekning'!$I$2:$I$41,'Utrekning'!$D$12)&lt;INDEX('Utrekning'!$U$2:$U$41,'Utrekning'!$D$12)," ↓","")))))</f>
        <v/>
      </c>
      <c r="K19" s="39">
        <f>IF(OR($B19="",INDEX('Utrekning'!$J$2:$J$41,'Utrekning'!$D$12)=0),"",CHOOSE(INDEX('Utrekning'!$J$2:$J$41,'Utrekning'!$D$12),"●","▲","■")&amp;IF(INDEX('Utrekning'!$AH$2:$AH$41,'Utrekning'!$D$12)&gt;1," "&amp;INDEX('Utrekning'!$AH$2:$AH$41,'Utrekning'!$D$12),"")&amp;IF($C$6="","",IF(INDEX('Utrekning'!$V$2:$V$41,'Utrekning'!$D$12)=0," ✱",IF(INDEX('Utrekning'!$J$2:$J$41,'Utrekning'!$D$12)&gt;INDEX('Utrekning'!$V$2:$V$41,'Utrekning'!$D$12)," ↑",IF(INDEX('Utrekning'!$J$2:$J$41,'Utrekning'!$D$12)&lt;INDEX('Utrekning'!$V$2:$V$41,'Utrekning'!$D$12)," ↓","")))))</f>
        <v/>
      </c>
      <c r="L19" s="39">
        <f>IF(OR($B19="",INDEX('Utrekning'!$K$2:$K$41,'Utrekning'!$D$12)=0),"",CHOOSE(INDEX('Utrekning'!$K$2:$K$41,'Utrekning'!$D$12),"●","▲","■")&amp;IF(INDEX('Utrekning'!$AI$2:$AI$41,'Utrekning'!$D$12)&gt;1," "&amp;INDEX('Utrekning'!$AI$2:$AI$41,'Utrekning'!$D$12),"")&amp;IF($C$6="","",IF(INDEX('Utrekning'!$W$2:$W$41,'Utrekning'!$D$12)=0," ✱",IF(INDEX('Utrekning'!$K$2:$K$41,'Utrekning'!$D$12)&gt;INDEX('Utrekning'!$W$2:$W$41,'Utrekning'!$D$12)," ↑",IF(INDEX('Utrekning'!$K$2:$K$41,'Utrekning'!$D$12)&lt;INDEX('Utrekning'!$W$2:$W$41,'Utrekning'!$D$12)," ↓","")))))</f>
        <v/>
      </c>
      <c r="M19" s="39">
        <f>IF(OR($B19="",INDEX('Utrekning'!$L$2:$L$41,'Utrekning'!$D$12)=0),"",CHOOSE(INDEX('Utrekning'!$L$2:$L$41,'Utrekning'!$D$12),"●","▲","■")&amp;IF(INDEX('Utrekning'!$AJ$2:$AJ$41,'Utrekning'!$D$12)&gt;1," "&amp;INDEX('Utrekning'!$AJ$2:$AJ$41,'Utrekning'!$D$12),"")&amp;IF($C$6="","",IF(INDEX('Utrekning'!$X$2:$X$41,'Utrekning'!$D$12)=0," ✱",IF(INDEX('Utrekning'!$L$2:$L$41,'Utrekning'!$D$12)&gt;INDEX('Utrekning'!$X$2:$X$41,'Utrekning'!$D$12)," ↑",IF(INDEX('Utrekning'!$L$2:$L$41,'Utrekning'!$D$12)&lt;INDEX('Utrekning'!$X$2:$X$41,'Utrekning'!$D$12)," ↓","")))))</f>
        <v/>
      </c>
      <c r="N19" s="39">
        <f>IF(OR($B19="",INDEX('Utrekning'!$M$2:$M$41,'Utrekning'!$D$12)=0),"",CHOOSE(INDEX('Utrekning'!$M$2:$M$41,'Utrekning'!$D$12),"●","▲","■")&amp;IF(INDEX('Utrekning'!$AK$2:$AK$41,'Utrekning'!$D$12)&gt;1," "&amp;INDEX('Utrekning'!$AK$2:$AK$41,'Utrekning'!$D$12),"")&amp;IF($C$6="","",IF(INDEX('Utrekning'!$Y$2:$Y$41,'Utrekning'!$D$12)=0," ✱",IF(INDEX('Utrekning'!$M$2:$M$41,'Utrekning'!$D$12)&gt;INDEX('Utrekning'!$Y$2:$Y$41,'Utrekning'!$D$12)," ↑",IF(INDEX('Utrekning'!$M$2:$M$41,'Utrekning'!$D$12)&lt;INDEX('Utrekning'!$Y$2:$Y$41,'Utrekning'!$D$12)," ↓","")))))</f>
        <v/>
      </c>
      <c r="O19" s="39">
        <f>IF(OR($B19="",INDEX('Utrekning'!$N$2:$N$41,'Utrekning'!$D$12)=0),"",CHOOSE(INDEX('Utrekning'!$N$2:$N$41,'Utrekning'!$D$12),"●","▲","■")&amp;IF(INDEX('Utrekning'!$AL$2:$AL$41,'Utrekning'!$D$12)&gt;1," "&amp;INDEX('Utrekning'!$AL$2:$AL$41,'Utrekning'!$D$12),"")&amp;IF($C$6="","",IF(INDEX('Utrekning'!$Z$2:$Z$41,'Utrekning'!$D$12)=0," ✱",IF(INDEX('Utrekning'!$N$2:$N$41,'Utrekning'!$D$12)&gt;INDEX('Utrekning'!$Z$2:$Z$41,'Utrekning'!$D$12)," ↑",IF(INDEX('Utrekning'!$N$2:$N$41,'Utrekning'!$D$12)&lt;INDEX('Utrekning'!$Z$2:$Z$41,'Utrekning'!$D$12)," ↓","")))))</f>
        <v/>
      </c>
      <c r="P19" s="39">
        <f>IF(OR($B19="",INDEX('Utrekning'!$O$2:$O$41,'Utrekning'!$D$12)=0),"",CHOOSE(INDEX('Utrekning'!$O$2:$O$41,'Utrekning'!$D$12),"●","▲","■")&amp;IF(INDEX('Utrekning'!$AM$2:$AM$41,'Utrekning'!$D$12)&gt;1," "&amp;INDEX('Utrekning'!$AM$2:$AM$41,'Utrekning'!$D$12),"")&amp;IF($C$6="","",IF(INDEX('Utrekning'!$AA$2:$AA$41,'Utrekning'!$D$12)=0," ✱",IF(INDEX('Utrekning'!$O$2:$O$41,'Utrekning'!$D$12)&gt;INDEX('Utrekning'!$AA$2:$AA$41,'Utrekning'!$D$12)," ↑",IF(INDEX('Utrekning'!$O$2:$O$41,'Utrekning'!$D$12)&lt;INDEX('Utrekning'!$AA$2:$AA$41,'Utrekning'!$D$12)," ↓","")))))</f>
        <v/>
      </c>
      <c r="Q19" s="39">
        <f>IF(OR($B19="",INDEX('Utrekning'!$P$2:$P$41,'Utrekning'!$D$12)=0),"",CHOOSE(INDEX('Utrekning'!$P$2:$P$41,'Utrekning'!$D$12),"●","▲","■")&amp;IF(INDEX('Utrekning'!$AN$2:$AN$41,'Utrekning'!$D$12)&gt;1," "&amp;INDEX('Utrekning'!$AN$2:$AN$41,'Utrekning'!$D$12),"")&amp;IF($C$6="","",IF(INDEX('Utrekning'!$AB$2:$AB$41,'Utrekning'!$D$12)=0," ✱",IF(INDEX('Utrekning'!$P$2:$P$41,'Utrekning'!$D$12)&gt;INDEX('Utrekning'!$AB$2:$AB$41,'Utrekning'!$D$12)," ↑",IF(INDEX('Utrekning'!$P$2:$P$41,'Utrekning'!$D$12)&lt;INDEX('Utrekning'!$AB$2:$AB$41,'Utrekning'!$D$12)," ↓","")))))</f>
        <v/>
      </c>
    </row>
    <row r="20" ht="22" customHeight="1">
      <c r="B20" s="37">
        <f>IFERROR(INDEX('Utrekning'!$B$2:$B$41,'Utrekning'!$D$13),"")</f>
        <v/>
      </c>
      <c r="C20" s="38">
        <f>IF($B20="","",COUNTIF(INDEX('Utrekning'!$E$2:$P$41,'Utrekning'!$D$13,0),3))</f>
        <v/>
      </c>
      <c r="D20" s="38">
        <f>IF($B20="","",COUNTIF(INDEX('Utrekning'!$E$2:$P$41,'Utrekning'!$D$13,0),2))</f>
        <v/>
      </c>
      <c r="E20" s="38">
        <f>IF($B20="","",COUNTIFS('Tiltak'!$B$2:$B$251,$C$5,'Tiltak'!$C$2:$C$251,$B20,'Tiltak'!$E$2:$E$251,"&lt;&gt;",'Tiltak'!$H$2:$H$251,"&lt;&gt;Avslutta",'Tiltak'!$H$2:$H$251,"&lt;&gt;Avsluttet"))</f>
        <v/>
      </c>
      <c r="F20" s="39">
        <f>IF(OR($B20="",INDEX('Utrekning'!$E$2:$E$41,'Utrekning'!$D$13)=0),"",CHOOSE(INDEX('Utrekning'!$E$2:$E$41,'Utrekning'!$D$13),"●","▲","■")&amp;IF(INDEX('Utrekning'!$AC$2:$AC$41,'Utrekning'!$D$13)&gt;1," "&amp;INDEX('Utrekning'!$AC$2:$AC$41,'Utrekning'!$D$13),"")&amp;IF($C$6="","",IF(INDEX('Utrekning'!$Q$2:$Q$41,'Utrekning'!$D$13)=0," ✱",IF(INDEX('Utrekning'!$E$2:$E$41,'Utrekning'!$D$13)&gt;INDEX('Utrekning'!$Q$2:$Q$41,'Utrekning'!$D$13)," ↑",IF(INDEX('Utrekning'!$E$2:$E$41,'Utrekning'!$D$13)&lt;INDEX('Utrekning'!$Q$2:$Q$41,'Utrekning'!$D$13)," ↓","")))))</f>
        <v/>
      </c>
      <c r="G20" s="39">
        <f>IF(OR($B20="",INDEX('Utrekning'!$F$2:$F$41,'Utrekning'!$D$13)=0),"",CHOOSE(INDEX('Utrekning'!$F$2:$F$41,'Utrekning'!$D$13),"●","▲","■")&amp;IF(INDEX('Utrekning'!$AD$2:$AD$41,'Utrekning'!$D$13)&gt;1," "&amp;INDEX('Utrekning'!$AD$2:$AD$41,'Utrekning'!$D$13),"")&amp;IF($C$6="","",IF(INDEX('Utrekning'!$R$2:$R$41,'Utrekning'!$D$13)=0," ✱",IF(INDEX('Utrekning'!$F$2:$F$41,'Utrekning'!$D$13)&gt;INDEX('Utrekning'!$R$2:$R$41,'Utrekning'!$D$13)," ↑",IF(INDEX('Utrekning'!$F$2:$F$41,'Utrekning'!$D$13)&lt;INDEX('Utrekning'!$R$2:$R$41,'Utrekning'!$D$13)," ↓","")))))</f>
        <v/>
      </c>
      <c r="H20" s="39">
        <f>IF(OR($B20="",INDEX('Utrekning'!$G$2:$G$41,'Utrekning'!$D$13)=0),"",CHOOSE(INDEX('Utrekning'!$G$2:$G$41,'Utrekning'!$D$13),"●","▲","■")&amp;IF(INDEX('Utrekning'!$AE$2:$AE$41,'Utrekning'!$D$13)&gt;1," "&amp;INDEX('Utrekning'!$AE$2:$AE$41,'Utrekning'!$D$13),"")&amp;IF($C$6="","",IF(INDEX('Utrekning'!$S$2:$S$41,'Utrekning'!$D$13)=0," ✱",IF(INDEX('Utrekning'!$G$2:$G$41,'Utrekning'!$D$13)&gt;INDEX('Utrekning'!$S$2:$S$41,'Utrekning'!$D$13)," ↑",IF(INDEX('Utrekning'!$G$2:$G$41,'Utrekning'!$D$13)&lt;INDEX('Utrekning'!$S$2:$S$41,'Utrekning'!$D$13)," ↓","")))))</f>
        <v/>
      </c>
      <c r="I20" s="39">
        <f>IF(OR($B20="",INDEX('Utrekning'!$H$2:$H$41,'Utrekning'!$D$13)=0),"",CHOOSE(INDEX('Utrekning'!$H$2:$H$41,'Utrekning'!$D$13),"●","▲","■")&amp;IF(INDEX('Utrekning'!$AF$2:$AF$41,'Utrekning'!$D$13)&gt;1," "&amp;INDEX('Utrekning'!$AF$2:$AF$41,'Utrekning'!$D$13),"")&amp;IF($C$6="","",IF(INDEX('Utrekning'!$T$2:$T$41,'Utrekning'!$D$13)=0," ✱",IF(INDEX('Utrekning'!$H$2:$H$41,'Utrekning'!$D$13)&gt;INDEX('Utrekning'!$T$2:$T$41,'Utrekning'!$D$13)," ↑",IF(INDEX('Utrekning'!$H$2:$H$41,'Utrekning'!$D$13)&lt;INDEX('Utrekning'!$T$2:$T$41,'Utrekning'!$D$13)," ↓","")))))</f>
        <v/>
      </c>
      <c r="J20" s="39">
        <f>IF(OR($B20="",INDEX('Utrekning'!$I$2:$I$41,'Utrekning'!$D$13)=0),"",CHOOSE(INDEX('Utrekning'!$I$2:$I$41,'Utrekning'!$D$13),"●","▲","■")&amp;IF(INDEX('Utrekning'!$AG$2:$AG$41,'Utrekning'!$D$13)&gt;1," "&amp;INDEX('Utrekning'!$AG$2:$AG$41,'Utrekning'!$D$13),"")&amp;IF($C$6="","",IF(INDEX('Utrekning'!$U$2:$U$41,'Utrekning'!$D$13)=0," ✱",IF(INDEX('Utrekning'!$I$2:$I$41,'Utrekning'!$D$13)&gt;INDEX('Utrekning'!$U$2:$U$41,'Utrekning'!$D$13)," ↑",IF(INDEX('Utrekning'!$I$2:$I$41,'Utrekning'!$D$13)&lt;INDEX('Utrekning'!$U$2:$U$41,'Utrekning'!$D$13)," ↓","")))))</f>
        <v/>
      </c>
      <c r="K20" s="39">
        <f>IF(OR($B20="",INDEX('Utrekning'!$J$2:$J$41,'Utrekning'!$D$13)=0),"",CHOOSE(INDEX('Utrekning'!$J$2:$J$41,'Utrekning'!$D$13),"●","▲","■")&amp;IF(INDEX('Utrekning'!$AH$2:$AH$41,'Utrekning'!$D$13)&gt;1," "&amp;INDEX('Utrekning'!$AH$2:$AH$41,'Utrekning'!$D$13),"")&amp;IF($C$6="","",IF(INDEX('Utrekning'!$V$2:$V$41,'Utrekning'!$D$13)=0," ✱",IF(INDEX('Utrekning'!$J$2:$J$41,'Utrekning'!$D$13)&gt;INDEX('Utrekning'!$V$2:$V$41,'Utrekning'!$D$13)," ↑",IF(INDEX('Utrekning'!$J$2:$J$41,'Utrekning'!$D$13)&lt;INDEX('Utrekning'!$V$2:$V$41,'Utrekning'!$D$13)," ↓","")))))</f>
        <v/>
      </c>
      <c r="L20" s="39">
        <f>IF(OR($B20="",INDEX('Utrekning'!$K$2:$K$41,'Utrekning'!$D$13)=0),"",CHOOSE(INDEX('Utrekning'!$K$2:$K$41,'Utrekning'!$D$13),"●","▲","■")&amp;IF(INDEX('Utrekning'!$AI$2:$AI$41,'Utrekning'!$D$13)&gt;1," "&amp;INDEX('Utrekning'!$AI$2:$AI$41,'Utrekning'!$D$13),"")&amp;IF($C$6="","",IF(INDEX('Utrekning'!$W$2:$W$41,'Utrekning'!$D$13)=0," ✱",IF(INDEX('Utrekning'!$K$2:$K$41,'Utrekning'!$D$13)&gt;INDEX('Utrekning'!$W$2:$W$41,'Utrekning'!$D$13)," ↑",IF(INDEX('Utrekning'!$K$2:$K$41,'Utrekning'!$D$13)&lt;INDEX('Utrekning'!$W$2:$W$41,'Utrekning'!$D$13)," ↓","")))))</f>
        <v/>
      </c>
      <c r="M20" s="39">
        <f>IF(OR($B20="",INDEX('Utrekning'!$L$2:$L$41,'Utrekning'!$D$13)=0),"",CHOOSE(INDEX('Utrekning'!$L$2:$L$41,'Utrekning'!$D$13),"●","▲","■")&amp;IF(INDEX('Utrekning'!$AJ$2:$AJ$41,'Utrekning'!$D$13)&gt;1," "&amp;INDEX('Utrekning'!$AJ$2:$AJ$41,'Utrekning'!$D$13),"")&amp;IF($C$6="","",IF(INDEX('Utrekning'!$X$2:$X$41,'Utrekning'!$D$13)=0," ✱",IF(INDEX('Utrekning'!$L$2:$L$41,'Utrekning'!$D$13)&gt;INDEX('Utrekning'!$X$2:$X$41,'Utrekning'!$D$13)," ↑",IF(INDEX('Utrekning'!$L$2:$L$41,'Utrekning'!$D$13)&lt;INDEX('Utrekning'!$X$2:$X$41,'Utrekning'!$D$13)," ↓","")))))</f>
        <v/>
      </c>
      <c r="N20" s="39">
        <f>IF(OR($B20="",INDEX('Utrekning'!$M$2:$M$41,'Utrekning'!$D$13)=0),"",CHOOSE(INDEX('Utrekning'!$M$2:$M$41,'Utrekning'!$D$13),"●","▲","■")&amp;IF(INDEX('Utrekning'!$AK$2:$AK$41,'Utrekning'!$D$13)&gt;1," "&amp;INDEX('Utrekning'!$AK$2:$AK$41,'Utrekning'!$D$13),"")&amp;IF($C$6="","",IF(INDEX('Utrekning'!$Y$2:$Y$41,'Utrekning'!$D$13)=0," ✱",IF(INDEX('Utrekning'!$M$2:$M$41,'Utrekning'!$D$13)&gt;INDEX('Utrekning'!$Y$2:$Y$41,'Utrekning'!$D$13)," ↑",IF(INDEX('Utrekning'!$M$2:$M$41,'Utrekning'!$D$13)&lt;INDEX('Utrekning'!$Y$2:$Y$41,'Utrekning'!$D$13)," ↓","")))))</f>
        <v/>
      </c>
      <c r="O20" s="39">
        <f>IF(OR($B20="",INDEX('Utrekning'!$N$2:$N$41,'Utrekning'!$D$13)=0),"",CHOOSE(INDEX('Utrekning'!$N$2:$N$41,'Utrekning'!$D$13),"●","▲","■")&amp;IF(INDEX('Utrekning'!$AL$2:$AL$41,'Utrekning'!$D$13)&gt;1," "&amp;INDEX('Utrekning'!$AL$2:$AL$41,'Utrekning'!$D$13),"")&amp;IF($C$6="","",IF(INDEX('Utrekning'!$Z$2:$Z$41,'Utrekning'!$D$13)=0," ✱",IF(INDEX('Utrekning'!$N$2:$N$41,'Utrekning'!$D$13)&gt;INDEX('Utrekning'!$Z$2:$Z$41,'Utrekning'!$D$13)," ↑",IF(INDEX('Utrekning'!$N$2:$N$41,'Utrekning'!$D$13)&lt;INDEX('Utrekning'!$Z$2:$Z$41,'Utrekning'!$D$13)," ↓","")))))</f>
        <v/>
      </c>
      <c r="P20" s="39">
        <f>IF(OR($B20="",INDEX('Utrekning'!$O$2:$O$41,'Utrekning'!$D$13)=0),"",CHOOSE(INDEX('Utrekning'!$O$2:$O$41,'Utrekning'!$D$13),"●","▲","■")&amp;IF(INDEX('Utrekning'!$AM$2:$AM$41,'Utrekning'!$D$13)&gt;1," "&amp;INDEX('Utrekning'!$AM$2:$AM$41,'Utrekning'!$D$13),"")&amp;IF($C$6="","",IF(INDEX('Utrekning'!$AA$2:$AA$41,'Utrekning'!$D$13)=0," ✱",IF(INDEX('Utrekning'!$O$2:$O$41,'Utrekning'!$D$13)&gt;INDEX('Utrekning'!$AA$2:$AA$41,'Utrekning'!$D$13)," ↑",IF(INDEX('Utrekning'!$O$2:$O$41,'Utrekning'!$D$13)&lt;INDEX('Utrekning'!$AA$2:$AA$41,'Utrekning'!$D$13)," ↓","")))))</f>
        <v/>
      </c>
      <c r="Q20" s="39">
        <f>IF(OR($B20="",INDEX('Utrekning'!$P$2:$P$41,'Utrekning'!$D$13)=0),"",CHOOSE(INDEX('Utrekning'!$P$2:$P$41,'Utrekning'!$D$13),"●","▲","■")&amp;IF(INDEX('Utrekning'!$AN$2:$AN$41,'Utrekning'!$D$13)&gt;1," "&amp;INDEX('Utrekning'!$AN$2:$AN$41,'Utrekning'!$D$13),"")&amp;IF($C$6="","",IF(INDEX('Utrekning'!$AB$2:$AB$41,'Utrekning'!$D$13)=0," ✱",IF(INDEX('Utrekning'!$P$2:$P$41,'Utrekning'!$D$13)&gt;INDEX('Utrekning'!$AB$2:$AB$41,'Utrekning'!$D$13)," ↑",IF(INDEX('Utrekning'!$P$2:$P$41,'Utrekning'!$D$13)&lt;INDEX('Utrekning'!$AB$2:$AB$41,'Utrekning'!$D$13)," ↓","")))))</f>
        <v/>
      </c>
    </row>
    <row r="21" ht="22" customHeight="1">
      <c r="B21" s="37">
        <f>IFERROR(INDEX('Utrekning'!$B$2:$B$41,'Utrekning'!$D$14),"")</f>
        <v/>
      </c>
      <c r="C21" s="38">
        <f>IF($B21="","",COUNTIF(INDEX('Utrekning'!$E$2:$P$41,'Utrekning'!$D$14,0),3))</f>
        <v/>
      </c>
      <c r="D21" s="38">
        <f>IF($B21="","",COUNTIF(INDEX('Utrekning'!$E$2:$P$41,'Utrekning'!$D$14,0),2))</f>
        <v/>
      </c>
      <c r="E21" s="38">
        <f>IF($B21="","",COUNTIFS('Tiltak'!$B$2:$B$251,$C$5,'Tiltak'!$C$2:$C$251,$B21,'Tiltak'!$E$2:$E$251,"&lt;&gt;",'Tiltak'!$H$2:$H$251,"&lt;&gt;Avslutta",'Tiltak'!$H$2:$H$251,"&lt;&gt;Avsluttet"))</f>
        <v/>
      </c>
      <c r="F21" s="39">
        <f>IF(OR($B21="",INDEX('Utrekning'!$E$2:$E$41,'Utrekning'!$D$14)=0),"",CHOOSE(INDEX('Utrekning'!$E$2:$E$41,'Utrekning'!$D$14),"●","▲","■")&amp;IF(INDEX('Utrekning'!$AC$2:$AC$41,'Utrekning'!$D$14)&gt;1," "&amp;INDEX('Utrekning'!$AC$2:$AC$41,'Utrekning'!$D$14),"")&amp;IF($C$6="","",IF(INDEX('Utrekning'!$Q$2:$Q$41,'Utrekning'!$D$14)=0," ✱",IF(INDEX('Utrekning'!$E$2:$E$41,'Utrekning'!$D$14)&gt;INDEX('Utrekning'!$Q$2:$Q$41,'Utrekning'!$D$14)," ↑",IF(INDEX('Utrekning'!$E$2:$E$41,'Utrekning'!$D$14)&lt;INDEX('Utrekning'!$Q$2:$Q$41,'Utrekning'!$D$14)," ↓","")))))</f>
        <v/>
      </c>
      <c r="G21" s="39">
        <f>IF(OR($B21="",INDEX('Utrekning'!$F$2:$F$41,'Utrekning'!$D$14)=0),"",CHOOSE(INDEX('Utrekning'!$F$2:$F$41,'Utrekning'!$D$14),"●","▲","■")&amp;IF(INDEX('Utrekning'!$AD$2:$AD$41,'Utrekning'!$D$14)&gt;1," "&amp;INDEX('Utrekning'!$AD$2:$AD$41,'Utrekning'!$D$14),"")&amp;IF($C$6="","",IF(INDEX('Utrekning'!$R$2:$R$41,'Utrekning'!$D$14)=0," ✱",IF(INDEX('Utrekning'!$F$2:$F$41,'Utrekning'!$D$14)&gt;INDEX('Utrekning'!$R$2:$R$41,'Utrekning'!$D$14)," ↑",IF(INDEX('Utrekning'!$F$2:$F$41,'Utrekning'!$D$14)&lt;INDEX('Utrekning'!$R$2:$R$41,'Utrekning'!$D$14)," ↓","")))))</f>
        <v/>
      </c>
      <c r="H21" s="39">
        <f>IF(OR($B21="",INDEX('Utrekning'!$G$2:$G$41,'Utrekning'!$D$14)=0),"",CHOOSE(INDEX('Utrekning'!$G$2:$G$41,'Utrekning'!$D$14),"●","▲","■")&amp;IF(INDEX('Utrekning'!$AE$2:$AE$41,'Utrekning'!$D$14)&gt;1," "&amp;INDEX('Utrekning'!$AE$2:$AE$41,'Utrekning'!$D$14),"")&amp;IF($C$6="","",IF(INDEX('Utrekning'!$S$2:$S$41,'Utrekning'!$D$14)=0," ✱",IF(INDEX('Utrekning'!$G$2:$G$41,'Utrekning'!$D$14)&gt;INDEX('Utrekning'!$S$2:$S$41,'Utrekning'!$D$14)," ↑",IF(INDEX('Utrekning'!$G$2:$G$41,'Utrekning'!$D$14)&lt;INDEX('Utrekning'!$S$2:$S$41,'Utrekning'!$D$14)," ↓","")))))</f>
        <v/>
      </c>
      <c r="I21" s="39">
        <f>IF(OR($B21="",INDEX('Utrekning'!$H$2:$H$41,'Utrekning'!$D$14)=0),"",CHOOSE(INDEX('Utrekning'!$H$2:$H$41,'Utrekning'!$D$14),"●","▲","■")&amp;IF(INDEX('Utrekning'!$AF$2:$AF$41,'Utrekning'!$D$14)&gt;1," "&amp;INDEX('Utrekning'!$AF$2:$AF$41,'Utrekning'!$D$14),"")&amp;IF($C$6="","",IF(INDEX('Utrekning'!$T$2:$T$41,'Utrekning'!$D$14)=0," ✱",IF(INDEX('Utrekning'!$H$2:$H$41,'Utrekning'!$D$14)&gt;INDEX('Utrekning'!$T$2:$T$41,'Utrekning'!$D$14)," ↑",IF(INDEX('Utrekning'!$H$2:$H$41,'Utrekning'!$D$14)&lt;INDEX('Utrekning'!$T$2:$T$41,'Utrekning'!$D$14)," ↓","")))))</f>
        <v/>
      </c>
      <c r="J21" s="39">
        <f>IF(OR($B21="",INDEX('Utrekning'!$I$2:$I$41,'Utrekning'!$D$14)=0),"",CHOOSE(INDEX('Utrekning'!$I$2:$I$41,'Utrekning'!$D$14),"●","▲","■")&amp;IF(INDEX('Utrekning'!$AG$2:$AG$41,'Utrekning'!$D$14)&gt;1," "&amp;INDEX('Utrekning'!$AG$2:$AG$41,'Utrekning'!$D$14),"")&amp;IF($C$6="","",IF(INDEX('Utrekning'!$U$2:$U$41,'Utrekning'!$D$14)=0," ✱",IF(INDEX('Utrekning'!$I$2:$I$41,'Utrekning'!$D$14)&gt;INDEX('Utrekning'!$U$2:$U$41,'Utrekning'!$D$14)," ↑",IF(INDEX('Utrekning'!$I$2:$I$41,'Utrekning'!$D$14)&lt;INDEX('Utrekning'!$U$2:$U$41,'Utrekning'!$D$14)," ↓","")))))</f>
        <v/>
      </c>
      <c r="K21" s="39">
        <f>IF(OR($B21="",INDEX('Utrekning'!$J$2:$J$41,'Utrekning'!$D$14)=0),"",CHOOSE(INDEX('Utrekning'!$J$2:$J$41,'Utrekning'!$D$14),"●","▲","■")&amp;IF(INDEX('Utrekning'!$AH$2:$AH$41,'Utrekning'!$D$14)&gt;1," "&amp;INDEX('Utrekning'!$AH$2:$AH$41,'Utrekning'!$D$14),"")&amp;IF($C$6="","",IF(INDEX('Utrekning'!$V$2:$V$41,'Utrekning'!$D$14)=0," ✱",IF(INDEX('Utrekning'!$J$2:$J$41,'Utrekning'!$D$14)&gt;INDEX('Utrekning'!$V$2:$V$41,'Utrekning'!$D$14)," ↑",IF(INDEX('Utrekning'!$J$2:$J$41,'Utrekning'!$D$14)&lt;INDEX('Utrekning'!$V$2:$V$41,'Utrekning'!$D$14)," ↓","")))))</f>
        <v/>
      </c>
      <c r="L21" s="39">
        <f>IF(OR($B21="",INDEX('Utrekning'!$K$2:$K$41,'Utrekning'!$D$14)=0),"",CHOOSE(INDEX('Utrekning'!$K$2:$K$41,'Utrekning'!$D$14),"●","▲","■")&amp;IF(INDEX('Utrekning'!$AI$2:$AI$41,'Utrekning'!$D$14)&gt;1," "&amp;INDEX('Utrekning'!$AI$2:$AI$41,'Utrekning'!$D$14),"")&amp;IF($C$6="","",IF(INDEX('Utrekning'!$W$2:$W$41,'Utrekning'!$D$14)=0," ✱",IF(INDEX('Utrekning'!$K$2:$K$41,'Utrekning'!$D$14)&gt;INDEX('Utrekning'!$W$2:$W$41,'Utrekning'!$D$14)," ↑",IF(INDEX('Utrekning'!$K$2:$K$41,'Utrekning'!$D$14)&lt;INDEX('Utrekning'!$W$2:$W$41,'Utrekning'!$D$14)," ↓","")))))</f>
        <v/>
      </c>
      <c r="M21" s="39">
        <f>IF(OR($B21="",INDEX('Utrekning'!$L$2:$L$41,'Utrekning'!$D$14)=0),"",CHOOSE(INDEX('Utrekning'!$L$2:$L$41,'Utrekning'!$D$14),"●","▲","■")&amp;IF(INDEX('Utrekning'!$AJ$2:$AJ$41,'Utrekning'!$D$14)&gt;1," "&amp;INDEX('Utrekning'!$AJ$2:$AJ$41,'Utrekning'!$D$14),"")&amp;IF($C$6="","",IF(INDEX('Utrekning'!$X$2:$X$41,'Utrekning'!$D$14)=0," ✱",IF(INDEX('Utrekning'!$L$2:$L$41,'Utrekning'!$D$14)&gt;INDEX('Utrekning'!$X$2:$X$41,'Utrekning'!$D$14)," ↑",IF(INDEX('Utrekning'!$L$2:$L$41,'Utrekning'!$D$14)&lt;INDEX('Utrekning'!$X$2:$X$41,'Utrekning'!$D$14)," ↓","")))))</f>
        <v/>
      </c>
      <c r="N21" s="39">
        <f>IF(OR($B21="",INDEX('Utrekning'!$M$2:$M$41,'Utrekning'!$D$14)=0),"",CHOOSE(INDEX('Utrekning'!$M$2:$M$41,'Utrekning'!$D$14),"●","▲","■")&amp;IF(INDEX('Utrekning'!$AK$2:$AK$41,'Utrekning'!$D$14)&gt;1," "&amp;INDEX('Utrekning'!$AK$2:$AK$41,'Utrekning'!$D$14),"")&amp;IF($C$6="","",IF(INDEX('Utrekning'!$Y$2:$Y$41,'Utrekning'!$D$14)=0," ✱",IF(INDEX('Utrekning'!$M$2:$M$41,'Utrekning'!$D$14)&gt;INDEX('Utrekning'!$Y$2:$Y$41,'Utrekning'!$D$14)," ↑",IF(INDEX('Utrekning'!$M$2:$M$41,'Utrekning'!$D$14)&lt;INDEX('Utrekning'!$Y$2:$Y$41,'Utrekning'!$D$14)," ↓","")))))</f>
        <v/>
      </c>
      <c r="O21" s="39">
        <f>IF(OR($B21="",INDEX('Utrekning'!$N$2:$N$41,'Utrekning'!$D$14)=0),"",CHOOSE(INDEX('Utrekning'!$N$2:$N$41,'Utrekning'!$D$14),"●","▲","■")&amp;IF(INDEX('Utrekning'!$AL$2:$AL$41,'Utrekning'!$D$14)&gt;1," "&amp;INDEX('Utrekning'!$AL$2:$AL$41,'Utrekning'!$D$14),"")&amp;IF($C$6="","",IF(INDEX('Utrekning'!$Z$2:$Z$41,'Utrekning'!$D$14)=0," ✱",IF(INDEX('Utrekning'!$N$2:$N$41,'Utrekning'!$D$14)&gt;INDEX('Utrekning'!$Z$2:$Z$41,'Utrekning'!$D$14)," ↑",IF(INDEX('Utrekning'!$N$2:$N$41,'Utrekning'!$D$14)&lt;INDEX('Utrekning'!$Z$2:$Z$41,'Utrekning'!$D$14)," ↓","")))))</f>
        <v/>
      </c>
      <c r="P21" s="39">
        <f>IF(OR($B21="",INDEX('Utrekning'!$O$2:$O$41,'Utrekning'!$D$14)=0),"",CHOOSE(INDEX('Utrekning'!$O$2:$O$41,'Utrekning'!$D$14),"●","▲","■")&amp;IF(INDEX('Utrekning'!$AM$2:$AM$41,'Utrekning'!$D$14)&gt;1," "&amp;INDEX('Utrekning'!$AM$2:$AM$41,'Utrekning'!$D$14),"")&amp;IF($C$6="","",IF(INDEX('Utrekning'!$AA$2:$AA$41,'Utrekning'!$D$14)=0," ✱",IF(INDEX('Utrekning'!$O$2:$O$41,'Utrekning'!$D$14)&gt;INDEX('Utrekning'!$AA$2:$AA$41,'Utrekning'!$D$14)," ↑",IF(INDEX('Utrekning'!$O$2:$O$41,'Utrekning'!$D$14)&lt;INDEX('Utrekning'!$AA$2:$AA$41,'Utrekning'!$D$14)," ↓","")))))</f>
        <v/>
      </c>
      <c r="Q21" s="39">
        <f>IF(OR($B21="",INDEX('Utrekning'!$P$2:$P$41,'Utrekning'!$D$14)=0),"",CHOOSE(INDEX('Utrekning'!$P$2:$P$41,'Utrekning'!$D$14),"●","▲","■")&amp;IF(INDEX('Utrekning'!$AN$2:$AN$41,'Utrekning'!$D$14)&gt;1," "&amp;INDEX('Utrekning'!$AN$2:$AN$41,'Utrekning'!$D$14),"")&amp;IF($C$6="","",IF(INDEX('Utrekning'!$AB$2:$AB$41,'Utrekning'!$D$14)=0," ✱",IF(INDEX('Utrekning'!$P$2:$P$41,'Utrekning'!$D$14)&gt;INDEX('Utrekning'!$AB$2:$AB$41,'Utrekning'!$D$14)," ↑",IF(INDEX('Utrekning'!$P$2:$P$41,'Utrekning'!$D$14)&lt;INDEX('Utrekning'!$AB$2:$AB$41,'Utrekning'!$D$14)," ↓","")))))</f>
        <v/>
      </c>
    </row>
    <row r="22" ht="22" customHeight="1">
      <c r="B22" s="37">
        <f>IFERROR(INDEX('Utrekning'!$B$2:$B$41,'Utrekning'!$D$15),"")</f>
        <v/>
      </c>
      <c r="C22" s="38">
        <f>IF($B22="","",COUNTIF(INDEX('Utrekning'!$E$2:$P$41,'Utrekning'!$D$15,0),3))</f>
        <v/>
      </c>
      <c r="D22" s="38">
        <f>IF($B22="","",COUNTIF(INDEX('Utrekning'!$E$2:$P$41,'Utrekning'!$D$15,0),2))</f>
        <v/>
      </c>
      <c r="E22" s="38">
        <f>IF($B22="","",COUNTIFS('Tiltak'!$B$2:$B$251,$C$5,'Tiltak'!$C$2:$C$251,$B22,'Tiltak'!$E$2:$E$251,"&lt;&gt;",'Tiltak'!$H$2:$H$251,"&lt;&gt;Avslutta",'Tiltak'!$H$2:$H$251,"&lt;&gt;Avsluttet"))</f>
        <v/>
      </c>
      <c r="F22" s="39">
        <f>IF(OR($B22="",INDEX('Utrekning'!$E$2:$E$41,'Utrekning'!$D$15)=0),"",CHOOSE(INDEX('Utrekning'!$E$2:$E$41,'Utrekning'!$D$15),"●","▲","■")&amp;IF(INDEX('Utrekning'!$AC$2:$AC$41,'Utrekning'!$D$15)&gt;1," "&amp;INDEX('Utrekning'!$AC$2:$AC$41,'Utrekning'!$D$15),"")&amp;IF($C$6="","",IF(INDEX('Utrekning'!$Q$2:$Q$41,'Utrekning'!$D$15)=0," ✱",IF(INDEX('Utrekning'!$E$2:$E$41,'Utrekning'!$D$15)&gt;INDEX('Utrekning'!$Q$2:$Q$41,'Utrekning'!$D$15)," ↑",IF(INDEX('Utrekning'!$E$2:$E$41,'Utrekning'!$D$15)&lt;INDEX('Utrekning'!$Q$2:$Q$41,'Utrekning'!$D$15)," ↓","")))))</f>
        <v/>
      </c>
      <c r="G22" s="39">
        <f>IF(OR($B22="",INDEX('Utrekning'!$F$2:$F$41,'Utrekning'!$D$15)=0),"",CHOOSE(INDEX('Utrekning'!$F$2:$F$41,'Utrekning'!$D$15),"●","▲","■")&amp;IF(INDEX('Utrekning'!$AD$2:$AD$41,'Utrekning'!$D$15)&gt;1," "&amp;INDEX('Utrekning'!$AD$2:$AD$41,'Utrekning'!$D$15),"")&amp;IF($C$6="","",IF(INDEX('Utrekning'!$R$2:$R$41,'Utrekning'!$D$15)=0," ✱",IF(INDEX('Utrekning'!$F$2:$F$41,'Utrekning'!$D$15)&gt;INDEX('Utrekning'!$R$2:$R$41,'Utrekning'!$D$15)," ↑",IF(INDEX('Utrekning'!$F$2:$F$41,'Utrekning'!$D$15)&lt;INDEX('Utrekning'!$R$2:$R$41,'Utrekning'!$D$15)," ↓","")))))</f>
        <v/>
      </c>
      <c r="H22" s="39">
        <f>IF(OR($B22="",INDEX('Utrekning'!$G$2:$G$41,'Utrekning'!$D$15)=0),"",CHOOSE(INDEX('Utrekning'!$G$2:$G$41,'Utrekning'!$D$15),"●","▲","■")&amp;IF(INDEX('Utrekning'!$AE$2:$AE$41,'Utrekning'!$D$15)&gt;1," "&amp;INDEX('Utrekning'!$AE$2:$AE$41,'Utrekning'!$D$15),"")&amp;IF($C$6="","",IF(INDEX('Utrekning'!$S$2:$S$41,'Utrekning'!$D$15)=0," ✱",IF(INDEX('Utrekning'!$G$2:$G$41,'Utrekning'!$D$15)&gt;INDEX('Utrekning'!$S$2:$S$41,'Utrekning'!$D$15)," ↑",IF(INDEX('Utrekning'!$G$2:$G$41,'Utrekning'!$D$15)&lt;INDEX('Utrekning'!$S$2:$S$41,'Utrekning'!$D$15)," ↓","")))))</f>
        <v/>
      </c>
      <c r="I22" s="39">
        <f>IF(OR($B22="",INDEX('Utrekning'!$H$2:$H$41,'Utrekning'!$D$15)=0),"",CHOOSE(INDEX('Utrekning'!$H$2:$H$41,'Utrekning'!$D$15),"●","▲","■")&amp;IF(INDEX('Utrekning'!$AF$2:$AF$41,'Utrekning'!$D$15)&gt;1," "&amp;INDEX('Utrekning'!$AF$2:$AF$41,'Utrekning'!$D$15),"")&amp;IF($C$6="","",IF(INDEX('Utrekning'!$T$2:$T$41,'Utrekning'!$D$15)=0," ✱",IF(INDEX('Utrekning'!$H$2:$H$41,'Utrekning'!$D$15)&gt;INDEX('Utrekning'!$T$2:$T$41,'Utrekning'!$D$15)," ↑",IF(INDEX('Utrekning'!$H$2:$H$41,'Utrekning'!$D$15)&lt;INDEX('Utrekning'!$T$2:$T$41,'Utrekning'!$D$15)," ↓","")))))</f>
        <v/>
      </c>
      <c r="J22" s="39">
        <f>IF(OR($B22="",INDEX('Utrekning'!$I$2:$I$41,'Utrekning'!$D$15)=0),"",CHOOSE(INDEX('Utrekning'!$I$2:$I$41,'Utrekning'!$D$15),"●","▲","■")&amp;IF(INDEX('Utrekning'!$AG$2:$AG$41,'Utrekning'!$D$15)&gt;1," "&amp;INDEX('Utrekning'!$AG$2:$AG$41,'Utrekning'!$D$15),"")&amp;IF($C$6="","",IF(INDEX('Utrekning'!$U$2:$U$41,'Utrekning'!$D$15)=0," ✱",IF(INDEX('Utrekning'!$I$2:$I$41,'Utrekning'!$D$15)&gt;INDEX('Utrekning'!$U$2:$U$41,'Utrekning'!$D$15)," ↑",IF(INDEX('Utrekning'!$I$2:$I$41,'Utrekning'!$D$15)&lt;INDEX('Utrekning'!$U$2:$U$41,'Utrekning'!$D$15)," ↓","")))))</f>
        <v/>
      </c>
      <c r="K22" s="39">
        <f>IF(OR($B22="",INDEX('Utrekning'!$J$2:$J$41,'Utrekning'!$D$15)=0),"",CHOOSE(INDEX('Utrekning'!$J$2:$J$41,'Utrekning'!$D$15),"●","▲","■")&amp;IF(INDEX('Utrekning'!$AH$2:$AH$41,'Utrekning'!$D$15)&gt;1," "&amp;INDEX('Utrekning'!$AH$2:$AH$41,'Utrekning'!$D$15),"")&amp;IF($C$6="","",IF(INDEX('Utrekning'!$V$2:$V$41,'Utrekning'!$D$15)=0," ✱",IF(INDEX('Utrekning'!$J$2:$J$41,'Utrekning'!$D$15)&gt;INDEX('Utrekning'!$V$2:$V$41,'Utrekning'!$D$15)," ↑",IF(INDEX('Utrekning'!$J$2:$J$41,'Utrekning'!$D$15)&lt;INDEX('Utrekning'!$V$2:$V$41,'Utrekning'!$D$15)," ↓","")))))</f>
        <v/>
      </c>
      <c r="L22" s="39">
        <f>IF(OR($B22="",INDEX('Utrekning'!$K$2:$K$41,'Utrekning'!$D$15)=0),"",CHOOSE(INDEX('Utrekning'!$K$2:$K$41,'Utrekning'!$D$15),"●","▲","■")&amp;IF(INDEX('Utrekning'!$AI$2:$AI$41,'Utrekning'!$D$15)&gt;1," "&amp;INDEX('Utrekning'!$AI$2:$AI$41,'Utrekning'!$D$15),"")&amp;IF($C$6="","",IF(INDEX('Utrekning'!$W$2:$W$41,'Utrekning'!$D$15)=0," ✱",IF(INDEX('Utrekning'!$K$2:$K$41,'Utrekning'!$D$15)&gt;INDEX('Utrekning'!$W$2:$W$41,'Utrekning'!$D$15)," ↑",IF(INDEX('Utrekning'!$K$2:$K$41,'Utrekning'!$D$15)&lt;INDEX('Utrekning'!$W$2:$W$41,'Utrekning'!$D$15)," ↓","")))))</f>
        <v/>
      </c>
      <c r="M22" s="39">
        <f>IF(OR($B22="",INDEX('Utrekning'!$L$2:$L$41,'Utrekning'!$D$15)=0),"",CHOOSE(INDEX('Utrekning'!$L$2:$L$41,'Utrekning'!$D$15),"●","▲","■")&amp;IF(INDEX('Utrekning'!$AJ$2:$AJ$41,'Utrekning'!$D$15)&gt;1," "&amp;INDEX('Utrekning'!$AJ$2:$AJ$41,'Utrekning'!$D$15),"")&amp;IF($C$6="","",IF(INDEX('Utrekning'!$X$2:$X$41,'Utrekning'!$D$15)=0," ✱",IF(INDEX('Utrekning'!$L$2:$L$41,'Utrekning'!$D$15)&gt;INDEX('Utrekning'!$X$2:$X$41,'Utrekning'!$D$15)," ↑",IF(INDEX('Utrekning'!$L$2:$L$41,'Utrekning'!$D$15)&lt;INDEX('Utrekning'!$X$2:$X$41,'Utrekning'!$D$15)," ↓","")))))</f>
        <v/>
      </c>
      <c r="N22" s="39">
        <f>IF(OR($B22="",INDEX('Utrekning'!$M$2:$M$41,'Utrekning'!$D$15)=0),"",CHOOSE(INDEX('Utrekning'!$M$2:$M$41,'Utrekning'!$D$15),"●","▲","■")&amp;IF(INDEX('Utrekning'!$AK$2:$AK$41,'Utrekning'!$D$15)&gt;1," "&amp;INDEX('Utrekning'!$AK$2:$AK$41,'Utrekning'!$D$15),"")&amp;IF($C$6="","",IF(INDEX('Utrekning'!$Y$2:$Y$41,'Utrekning'!$D$15)=0," ✱",IF(INDEX('Utrekning'!$M$2:$M$41,'Utrekning'!$D$15)&gt;INDEX('Utrekning'!$Y$2:$Y$41,'Utrekning'!$D$15)," ↑",IF(INDEX('Utrekning'!$M$2:$M$41,'Utrekning'!$D$15)&lt;INDEX('Utrekning'!$Y$2:$Y$41,'Utrekning'!$D$15)," ↓","")))))</f>
        <v/>
      </c>
      <c r="O22" s="39">
        <f>IF(OR($B22="",INDEX('Utrekning'!$N$2:$N$41,'Utrekning'!$D$15)=0),"",CHOOSE(INDEX('Utrekning'!$N$2:$N$41,'Utrekning'!$D$15),"●","▲","■")&amp;IF(INDEX('Utrekning'!$AL$2:$AL$41,'Utrekning'!$D$15)&gt;1," "&amp;INDEX('Utrekning'!$AL$2:$AL$41,'Utrekning'!$D$15),"")&amp;IF($C$6="","",IF(INDEX('Utrekning'!$Z$2:$Z$41,'Utrekning'!$D$15)=0," ✱",IF(INDEX('Utrekning'!$N$2:$N$41,'Utrekning'!$D$15)&gt;INDEX('Utrekning'!$Z$2:$Z$41,'Utrekning'!$D$15)," ↑",IF(INDEX('Utrekning'!$N$2:$N$41,'Utrekning'!$D$15)&lt;INDEX('Utrekning'!$Z$2:$Z$41,'Utrekning'!$D$15)," ↓","")))))</f>
        <v/>
      </c>
      <c r="P22" s="39">
        <f>IF(OR($B22="",INDEX('Utrekning'!$O$2:$O$41,'Utrekning'!$D$15)=0),"",CHOOSE(INDEX('Utrekning'!$O$2:$O$41,'Utrekning'!$D$15),"●","▲","■")&amp;IF(INDEX('Utrekning'!$AM$2:$AM$41,'Utrekning'!$D$15)&gt;1," "&amp;INDEX('Utrekning'!$AM$2:$AM$41,'Utrekning'!$D$15),"")&amp;IF($C$6="","",IF(INDEX('Utrekning'!$AA$2:$AA$41,'Utrekning'!$D$15)=0," ✱",IF(INDEX('Utrekning'!$O$2:$O$41,'Utrekning'!$D$15)&gt;INDEX('Utrekning'!$AA$2:$AA$41,'Utrekning'!$D$15)," ↑",IF(INDEX('Utrekning'!$O$2:$O$41,'Utrekning'!$D$15)&lt;INDEX('Utrekning'!$AA$2:$AA$41,'Utrekning'!$D$15)," ↓","")))))</f>
        <v/>
      </c>
      <c r="Q22" s="39">
        <f>IF(OR($B22="",INDEX('Utrekning'!$P$2:$P$41,'Utrekning'!$D$15)=0),"",CHOOSE(INDEX('Utrekning'!$P$2:$P$41,'Utrekning'!$D$15),"●","▲","■")&amp;IF(INDEX('Utrekning'!$AN$2:$AN$41,'Utrekning'!$D$15)&gt;1," "&amp;INDEX('Utrekning'!$AN$2:$AN$41,'Utrekning'!$D$15),"")&amp;IF($C$6="","",IF(INDEX('Utrekning'!$AB$2:$AB$41,'Utrekning'!$D$15)=0," ✱",IF(INDEX('Utrekning'!$P$2:$P$41,'Utrekning'!$D$15)&gt;INDEX('Utrekning'!$AB$2:$AB$41,'Utrekning'!$D$15)," ↑",IF(INDEX('Utrekning'!$P$2:$P$41,'Utrekning'!$D$15)&lt;INDEX('Utrekning'!$AB$2:$AB$41,'Utrekning'!$D$15)," ↓","")))))</f>
        <v/>
      </c>
    </row>
    <row r="23" ht="22" customHeight="1">
      <c r="B23" s="37">
        <f>IFERROR(INDEX('Utrekning'!$B$2:$B$41,'Utrekning'!$D$16),"")</f>
        <v/>
      </c>
      <c r="C23" s="38">
        <f>IF($B23="","",COUNTIF(INDEX('Utrekning'!$E$2:$P$41,'Utrekning'!$D$16,0),3))</f>
        <v/>
      </c>
      <c r="D23" s="38">
        <f>IF($B23="","",COUNTIF(INDEX('Utrekning'!$E$2:$P$41,'Utrekning'!$D$16,0),2))</f>
        <v/>
      </c>
      <c r="E23" s="38">
        <f>IF($B23="","",COUNTIFS('Tiltak'!$B$2:$B$251,$C$5,'Tiltak'!$C$2:$C$251,$B23,'Tiltak'!$E$2:$E$251,"&lt;&gt;",'Tiltak'!$H$2:$H$251,"&lt;&gt;Avslutta",'Tiltak'!$H$2:$H$251,"&lt;&gt;Avsluttet"))</f>
        <v/>
      </c>
      <c r="F23" s="39">
        <f>IF(OR($B23="",INDEX('Utrekning'!$E$2:$E$41,'Utrekning'!$D$16)=0),"",CHOOSE(INDEX('Utrekning'!$E$2:$E$41,'Utrekning'!$D$16),"●","▲","■")&amp;IF(INDEX('Utrekning'!$AC$2:$AC$41,'Utrekning'!$D$16)&gt;1," "&amp;INDEX('Utrekning'!$AC$2:$AC$41,'Utrekning'!$D$16),"")&amp;IF($C$6="","",IF(INDEX('Utrekning'!$Q$2:$Q$41,'Utrekning'!$D$16)=0," ✱",IF(INDEX('Utrekning'!$E$2:$E$41,'Utrekning'!$D$16)&gt;INDEX('Utrekning'!$Q$2:$Q$41,'Utrekning'!$D$16)," ↑",IF(INDEX('Utrekning'!$E$2:$E$41,'Utrekning'!$D$16)&lt;INDEX('Utrekning'!$Q$2:$Q$41,'Utrekning'!$D$16)," ↓","")))))</f>
        <v/>
      </c>
      <c r="G23" s="39">
        <f>IF(OR($B23="",INDEX('Utrekning'!$F$2:$F$41,'Utrekning'!$D$16)=0),"",CHOOSE(INDEX('Utrekning'!$F$2:$F$41,'Utrekning'!$D$16),"●","▲","■")&amp;IF(INDEX('Utrekning'!$AD$2:$AD$41,'Utrekning'!$D$16)&gt;1," "&amp;INDEX('Utrekning'!$AD$2:$AD$41,'Utrekning'!$D$16),"")&amp;IF($C$6="","",IF(INDEX('Utrekning'!$R$2:$R$41,'Utrekning'!$D$16)=0," ✱",IF(INDEX('Utrekning'!$F$2:$F$41,'Utrekning'!$D$16)&gt;INDEX('Utrekning'!$R$2:$R$41,'Utrekning'!$D$16)," ↑",IF(INDEX('Utrekning'!$F$2:$F$41,'Utrekning'!$D$16)&lt;INDEX('Utrekning'!$R$2:$R$41,'Utrekning'!$D$16)," ↓","")))))</f>
        <v/>
      </c>
      <c r="H23" s="39">
        <f>IF(OR($B23="",INDEX('Utrekning'!$G$2:$G$41,'Utrekning'!$D$16)=0),"",CHOOSE(INDEX('Utrekning'!$G$2:$G$41,'Utrekning'!$D$16),"●","▲","■")&amp;IF(INDEX('Utrekning'!$AE$2:$AE$41,'Utrekning'!$D$16)&gt;1," "&amp;INDEX('Utrekning'!$AE$2:$AE$41,'Utrekning'!$D$16),"")&amp;IF($C$6="","",IF(INDEX('Utrekning'!$S$2:$S$41,'Utrekning'!$D$16)=0," ✱",IF(INDEX('Utrekning'!$G$2:$G$41,'Utrekning'!$D$16)&gt;INDEX('Utrekning'!$S$2:$S$41,'Utrekning'!$D$16)," ↑",IF(INDEX('Utrekning'!$G$2:$G$41,'Utrekning'!$D$16)&lt;INDEX('Utrekning'!$S$2:$S$41,'Utrekning'!$D$16)," ↓","")))))</f>
        <v/>
      </c>
      <c r="I23" s="39">
        <f>IF(OR($B23="",INDEX('Utrekning'!$H$2:$H$41,'Utrekning'!$D$16)=0),"",CHOOSE(INDEX('Utrekning'!$H$2:$H$41,'Utrekning'!$D$16),"●","▲","■")&amp;IF(INDEX('Utrekning'!$AF$2:$AF$41,'Utrekning'!$D$16)&gt;1," "&amp;INDEX('Utrekning'!$AF$2:$AF$41,'Utrekning'!$D$16),"")&amp;IF($C$6="","",IF(INDEX('Utrekning'!$T$2:$T$41,'Utrekning'!$D$16)=0," ✱",IF(INDEX('Utrekning'!$H$2:$H$41,'Utrekning'!$D$16)&gt;INDEX('Utrekning'!$T$2:$T$41,'Utrekning'!$D$16)," ↑",IF(INDEX('Utrekning'!$H$2:$H$41,'Utrekning'!$D$16)&lt;INDEX('Utrekning'!$T$2:$T$41,'Utrekning'!$D$16)," ↓","")))))</f>
        <v/>
      </c>
      <c r="J23" s="39">
        <f>IF(OR($B23="",INDEX('Utrekning'!$I$2:$I$41,'Utrekning'!$D$16)=0),"",CHOOSE(INDEX('Utrekning'!$I$2:$I$41,'Utrekning'!$D$16),"●","▲","■")&amp;IF(INDEX('Utrekning'!$AG$2:$AG$41,'Utrekning'!$D$16)&gt;1," "&amp;INDEX('Utrekning'!$AG$2:$AG$41,'Utrekning'!$D$16),"")&amp;IF($C$6="","",IF(INDEX('Utrekning'!$U$2:$U$41,'Utrekning'!$D$16)=0," ✱",IF(INDEX('Utrekning'!$I$2:$I$41,'Utrekning'!$D$16)&gt;INDEX('Utrekning'!$U$2:$U$41,'Utrekning'!$D$16)," ↑",IF(INDEX('Utrekning'!$I$2:$I$41,'Utrekning'!$D$16)&lt;INDEX('Utrekning'!$U$2:$U$41,'Utrekning'!$D$16)," ↓","")))))</f>
        <v/>
      </c>
      <c r="K23" s="39">
        <f>IF(OR($B23="",INDEX('Utrekning'!$J$2:$J$41,'Utrekning'!$D$16)=0),"",CHOOSE(INDEX('Utrekning'!$J$2:$J$41,'Utrekning'!$D$16),"●","▲","■")&amp;IF(INDEX('Utrekning'!$AH$2:$AH$41,'Utrekning'!$D$16)&gt;1," "&amp;INDEX('Utrekning'!$AH$2:$AH$41,'Utrekning'!$D$16),"")&amp;IF($C$6="","",IF(INDEX('Utrekning'!$V$2:$V$41,'Utrekning'!$D$16)=0," ✱",IF(INDEX('Utrekning'!$J$2:$J$41,'Utrekning'!$D$16)&gt;INDEX('Utrekning'!$V$2:$V$41,'Utrekning'!$D$16)," ↑",IF(INDEX('Utrekning'!$J$2:$J$41,'Utrekning'!$D$16)&lt;INDEX('Utrekning'!$V$2:$V$41,'Utrekning'!$D$16)," ↓","")))))</f>
        <v/>
      </c>
      <c r="L23" s="39">
        <f>IF(OR($B23="",INDEX('Utrekning'!$K$2:$K$41,'Utrekning'!$D$16)=0),"",CHOOSE(INDEX('Utrekning'!$K$2:$K$41,'Utrekning'!$D$16),"●","▲","■")&amp;IF(INDEX('Utrekning'!$AI$2:$AI$41,'Utrekning'!$D$16)&gt;1," "&amp;INDEX('Utrekning'!$AI$2:$AI$41,'Utrekning'!$D$16),"")&amp;IF($C$6="","",IF(INDEX('Utrekning'!$W$2:$W$41,'Utrekning'!$D$16)=0," ✱",IF(INDEX('Utrekning'!$K$2:$K$41,'Utrekning'!$D$16)&gt;INDEX('Utrekning'!$W$2:$W$41,'Utrekning'!$D$16)," ↑",IF(INDEX('Utrekning'!$K$2:$K$41,'Utrekning'!$D$16)&lt;INDEX('Utrekning'!$W$2:$W$41,'Utrekning'!$D$16)," ↓","")))))</f>
        <v/>
      </c>
      <c r="M23" s="39">
        <f>IF(OR($B23="",INDEX('Utrekning'!$L$2:$L$41,'Utrekning'!$D$16)=0),"",CHOOSE(INDEX('Utrekning'!$L$2:$L$41,'Utrekning'!$D$16),"●","▲","■")&amp;IF(INDEX('Utrekning'!$AJ$2:$AJ$41,'Utrekning'!$D$16)&gt;1," "&amp;INDEX('Utrekning'!$AJ$2:$AJ$41,'Utrekning'!$D$16),"")&amp;IF($C$6="","",IF(INDEX('Utrekning'!$X$2:$X$41,'Utrekning'!$D$16)=0," ✱",IF(INDEX('Utrekning'!$L$2:$L$41,'Utrekning'!$D$16)&gt;INDEX('Utrekning'!$X$2:$X$41,'Utrekning'!$D$16)," ↑",IF(INDEX('Utrekning'!$L$2:$L$41,'Utrekning'!$D$16)&lt;INDEX('Utrekning'!$X$2:$X$41,'Utrekning'!$D$16)," ↓","")))))</f>
        <v/>
      </c>
      <c r="N23" s="39">
        <f>IF(OR($B23="",INDEX('Utrekning'!$M$2:$M$41,'Utrekning'!$D$16)=0),"",CHOOSE(INDEX('Utrekning'!$M$2:$M$41,'Utrekning'!$D$16),"●","▲","■")&amp;IF(INDEX('Utrekning'!$AK$2:$AK$41,'Utrekning'!$D$16)&gt;1," "&amp;INDEX('Utrekning'!$AK$2:$AK$41,'Utrekning'!$D$16),"")&amp;IF($C$6="","",IF(INDEX('Utrekning'!$Y$2:$Y$41,'Utrekning'!$D$16)=0," ✱",IF(INDEX('Utrekning'!$M$2:$M$41,'Utrekning'!$D$16)&gt;INDEX('Utrekning'!$Y$2:$Y$41,'Utrekning'!$D$16)," ↑",IF(INDEX('Utrekning'!$M$2:$M$41,'Utrekning'!$D$16)&lt;INDEX('Utrekning'!$Y$2:$Y$41,'Utrekning'!$D$16)," ↓","")))))</f>
        <v/>
      </c>
      <c r="O23" s="39">
        <f>IF(OR($B23="",INDEX('Utrekning'!$N$2:$N$41,'Utrekning'!$D$16)=0),"",CHOOSE(INDEX('Utrekning'!$N$2:$N$41,'Utrekning'!$D$16),"●","▲","■")&amp;IF(INDEX('Utrekning'!$AL$2:$AL$41,'Utrekning'!$D$16)&gt;1," "&amp;INDEX('Utrekning'!$AL$2:$AL$41,'Utrekning'!$D$16),"")&amp;IF($C$6="","",IF(INDEX('Utrekning'!$Z$2:$Z$41,'Utrekning'!$D$16)=0," ✱",IF(INDEX('Utrekning'!$N$2:$N$41,'Utrekning'!$D$16)&gt;INDEX('Utrekning'!$Z$2:$Z$41,'Utrekning'!$D$16)," ↑",IF(INDEX('Utrekning'!$N$2:$N$41,'Utrekning'!$D$16)&lt;INDEX('Utrekning'!$Z$2:$Z$41,'Utrekning'!$D$16)," ↓","")))))</f>
        <v/>
      </c>
      <c r="P23" s="39">
        <f>IF(OR($B23="",INDEX('Utrekning'!$O$2:$O$41,'Utrekning'!$D$16)=0),"",CHOOSE(INDEX('Utrekning'!$O$2:$O$41,'Utrekning'!$D$16),"●","▲","■")&amp;IF(INDEX('Utrekning'!$AM$2:$AM$41,'Utrekning'!$D$16)&gt;1," "&amp;INDEX('Utrekning'!$AM$2:$AM$41,'Utrekning'!$D$16),"")&amp;IF($C$6="","",IF(INDEX('Utrekning'!$AA$2:$AA$41,'Utrekning'!$D$16)=0," ✱",IF(INDEX('Utrekning'!$O$2:$O$41,'Utrekning'!$D$16)&gt;INDEX('Utrekning'!$AA$2:$AA$41,'Utrekning'!$D$16)," ↑",IF(INDEX('Utrekning'!$O$2:$O$41,'Utrekning'!$D$16)&lt;INDEX('Utrekning'!$AA$2:$AA$41,'Utrekning'!$D$16)," ↓","")))))</f>
        <v/>
      </c>
      <c r="Q23" s="39">
        <f>IF(OR($B23="",INDEX('Utrekning'!$P$2:$P$41,'Utrekning'!$D$16)=0),"",CHOOSE(INDEX('Utrekning'!$P$2:$P$41,'Utrekning'!$D$16),"●","▲","■")&amp;IF(INDEX('Utrekning'!$AN$2:$AN$41,'Utrekning'!$D$16)&gt;1," "&amp;INDEX('Utrekning'!$AN$2:$AN$41,'Utrekning'!$D$16),"")&amp;IF($C$6="","",IF(INDEX('Utrekning'!$AB$2:$AB$41,'Utrekning'!$D$16)=0," ✱",IF(INDEX('Utrekning'!$P$2:$P$41,'Utrekning'!$D$16)&gt;INDEX('Utrekning'!$AB$2:$AB$41,'Utrekning'!$D$16)," ↑",IF(INDEX('Utrekning'!$P$2:$P$41,'Utrekning'!$D$16)&lt;INDEX('Utrekning'!$AB$2:$AB$41,'Utrekning'!$D$16)," ↓","")))))</f>
        <v/>
      </c>
    </row>
    <row r="24" ht="22" customHeight="1">
      <c r="B24" s="37">
        <f>IFERROR(INDEX('Utrekning'!$B$2:$B$41,'Utrekning'!$D$17),"")</f>
        <v/>
      </c>
      <c r="C24" s="38">
        <f>IF($B24="","",COUNTIF(INDEX('Utrekning'!$E$2:$P$41,'Utrekning'!$D$17,0),3))</f>
        <v/>
      </c>
      <c r="D24" s="38">
        <f>IF($B24="","",COUNTIF(INDEX('Utrekning'!$E$2:$P$41,'Utrekning'!$D$17,0),2))</f>
        <v/>
      </c>
      <c r="E24" s="38">
        <f>IF($B24="","",COUNTIFS('Tiltak'!$B$2:$B$251,$C$5,'Tiltak'!$C$2:$C$251,$B24,'Tiltak'!$E$2:$E$251,"&lt;&gt;",'Tiltak'!$H$2:$H$251,"&lt;&gt;Avslutta",'Tiltak'!$H$2:$H$251,"&lt;&gt;Avsluttet"))</f>
        <v/>
      </c>
      <c r="F24" s="39">
        <f>IF(OR($B24="",INDEX('Utrekning'!$E$2:$E$41,'Utrekning'!$D$17)=0),"",CHOOSE(INDEX('Utrekning'!$E$2:$E$41,'Utrekning'!$D$17),"●","▲","■")&amp;IF(INDEX('Utrekning'!$AC$2:$AC$41,'Utrekning'!$D$17)&gt;1," "&amp;INDEX('Utrekning'!$AC$2:$AC$41,'Utrekning'!$D$17),"")&amp;IF($C$6="","",IF(INDEX('Utrekning'!$Q$2:$Q$41,'Utrekning'!$D$17)=0," ✱",IF(INDEX('Utrekning'!$E$2:$E$41,'Utrekning'!$D$17)&gt;INDEX('Utrekning'!$Q$2:$Q$41,'Utrekning'!$D$17)," ↑",IF(INDEX('Utrekning'!$E$2:$E$41,'Utrekning'!$D$17)&lt;INDEX('Utrekning'!$Q$2:$Q$41,'Utrekning'!$D$17)," ↓","")))))</f>
        <v/>
      </c>
      <c r="G24" s="39">
        <f>IF(OR($B24="",INDEX('Utrekning'!$F$2:$F$41,'Utrekning'!$D$17)=0),"",CHOOSE(INDEX('Utrekning'!$F$2:$F$41,'Utrekning'!$D$17),"●","▲","■")&amp;IF(INDEX('Utrekning'!$AD$2:$AD$41,'Utrekning'!$D$17)&gt;1," "&amp;INDEX('Utrekning'!$AD$2:$AD$41,'Utrekning'!$D$17),"")&amp;IF($C$6="","",IF(INDEX('Utrekning'!$R$2:$R$41,'Utrekning'!$D$17)=0," ✱",IF(INDEX('Utrekning'!$F$2:$F$41,'Utrekning'!$D$17)&gt;INDEX('Utrekning'!$R$2:$R$41,'Utrekning'!$D$17)," ↑",IF(INDEX('Utrekning'!$F$2:$F$41,'Utrekning'!$D$17)&lt;INDEX('Utrekning'!$R$2:$R$41,'Utrekning'!$D$17)," ↓","")))))</f>
        <v/>
      </c>
      <c r="H24" s="39">
        <f>IF(OR($B24="",INDEX('Utrekning'!$G$2:$G$41,'Utrekning'!$D$17)=0),"",CHOOSE(INDEX('Utrekning'!$G$2:$G$41,'Utrekning'!$D$17),"●","▲","■")&amp;IF(INDEX('Utrekning'!$AE$2:$AE$41,'Utrekning'!$D$17)&gt;1," "&amp;INDEX('Utrekning'!$AE$2:$AE$41,'Utrekning'!$D$17),"")&amp;IF($C$6="","",IF(INDEX('Utrekning'!$S$2:$S$41,'Utrekning'!$D$17)=0," ✱",IF(INDEX('Utrekning'!$G$2:$G$41,'Utrekning'!$D$17)&gt;INDEX('Utrekning'!$S$2:$S$41,'Utrekning'!$D$17)," ↑",IF(INDEX('Utrekning'!$G$2:$G$41,'Utrekning'!$D$17)&lt;INDEX('Utrekning'!$S$2:$S$41,'Utrekning'!$D$17)," ↓","")))))</f>
        <v/>
      </c>
      <c r="I24" s="39">
        <f>IF(OR($B24="",INDEX('Utrekning'!$H$2:$H$41,'Utrekning'!$D$17)=0),"",CHOOSE(INDEX('Utrekning'!$H$2:$H$41,'Utrekning'!$D$17),"●","▲","■")&amp;IF(INDEX('Utrekning'!$AF$2:$AF$41,'Utrekning'!$D$17)&gt;1," "&amp;INDEX('Utrekning'!$AF$2:$AF$41,'Utrekning'!$D$17),"")&amp;IF($C$6="","",IF(INDEX('Utrekning'!$T$2:$T$41,'Utrekning'!$D$17)=0," ✱",IF(INDEX('Utrekning'!$H$2:$H$41,'Utrekning'!$D$17)&gt;INDEX('Utrekning'!$T$2:$T$41,'Utrekning'!$D$17)," ↑",IF(INDEX('Utrekning'!$H$2:$H$41,'Utrekning'!$D$17)&lt;INDEX('Utrekning'!$T$2:$T$41,'Utrekning'!$D$17)," ↓","")))))</f>
        <v/>
      </c>
      <c r="J24" s="39">
        <f>IF(OR($B24="",INDEX('Utrekning'!$I$2:$I$41,'Utrekning'!$D$17)=0),"",CHOOSE(INDEX('Utrekning'!$I$2:$I$41,'Utrekning'!$D$17),"●","▲","■")&amp;IF(INDEX('Utrekning'!$AG$2:$AG$41,'Utrekning'!$D$17)&gt;1," "&amp;INDEX('Utrekning'!$AG$2:$AG$41,'Utrekning'!$D$17),"")&amp;IF($C$6="","",IF(INDEX('Utrekning'!$U$2:$U$41,'Utrekning'!$D$17)=0," ✱",IF(INDEX('Utrekning'!$I$2:$I$41,'Utrekning'!$D$17)&gt;INDEX('Utrekning'!$U$2:$U$41,'Utrekning'!$D$17)," ↑",IF(INDEX('Utrekning'!$I$2:$I$41,'Utrekning'!$D$17)&lt;INDEX('Utrekning'!$U$2:$U$41,'Utrekning'!$D$17)," ↓","")))))</f>
        <v/>
      </c>
      <c r="K24" s="39">
        <f>IF(OR($B24="",INDEX('Utrekning'!$J$2:$J$41,'Utrekning'!$D$17)=0),"",CHOOSE(INDEX('Utrekning'!$J$2:$J$41,'Utrekning'!$D$17),"●","▲","■")&amp;IF(INDEX('Utrekning'!$AH$2:$AH$41,'Utrekning'!$D$17)&gt;1," "&amp;INDEX('Utrekning'!$AH$2:$AH$41,'Utrekning'!$D$17),"")&amp;IF($C$6="","",IF(INDEX('Utrekning'!$V$2:$V$41,'Utrekning'!$D$17)=0," ✱",IF(INDEX('Utrekning'!$J$2:$J$41,'Utrekning'!$D$17)&gt;INDEX('Utrekning'!$V$2:$V$41,'Utrekning'!$D$17)," ↑",IF(INDEX('Utrekning'!$J$2:$J$41,'Utrekning'!$D$17)&lt;INDEX('Utrekning'!$V$2:$V$41,'Utrekning'!$D$17)," ↓","")))))</f>
        <v/>
      </c>
      <c r="L24" s="39">
        <f>IF(OR($B24="",INDEX('Utrekning'!$K$2:$K$41,'Utrekning'!$D$17)=0),"",CHOOSE(INDEX('Utrekning'!$K$2:$K$41,'Utrekning'!$D$17),"●","▲","■")&amp;IF(INDEX('Utrekning'!$AI$2:$AI$41,'Utrekning'!$D$17)&gt;1," "&amp;INDEX('Utrekning'!$AI$2:$AI$41,'Utrekning'!$D$17),"")&amp;IF($C$6="","",IF(INDEX('Utrekning'!$W$2:$W$41,'Utrekning'!$D$17)=0," ✱",IF(INDEX('Utrekning'!$K$2:$K$41,'Utrekning'!$D$17)&gt;INDEX('Utrekning'!$W$2:$W$41,'Utrekning'!$D$17)," ↑",IF(INDEX('Utrekning'!$K$2:$K$41,'Utrekning'!$D$17)&lt;INDEX('Utrekning'!$W$2:$W$41,'Utrekning'!$D$17)," ↓","")))))</f>
        <v/>
      </c>
      <c r="M24" s="39">
        <f>IF(OR($B24="",INDEX('Utrekning'!$L$2:$L$41,'Utrekning'!$D$17)=0),"",CHOOSE(INDEX('Utrekning'!$L$2:$L$41,'Utrekning'!$D$17),"●","▲","■")&amp;IF(INDEX('Utrekning'!$AJ$2:$AJ$41,'Utrekning'!$D$17)&gt;1," "&amp;INDEX('Utrekning'!$AJ$2:$AJ$41,'Utrekning'!$D$17),"")&amp;IF($C$6="","",IF(INDEX('Utrekning'!$X$2:$X$41,'Utrekning'!$D$17)=0," ✱",IF(INDEX('Utrekning'!$L$2:$L$41,'Utrekning'!$D$17)&gt;INDEX('Utrekning'!$X$2:$X$41,'Utrekning'!$D$17)," ↑",IF(INDEX('Utrekning'!$L$2:$L$41,'Utrekning'!$D$17)&lt;INDEX('Utrekning'!$X$2:$X$41,'Utrekning'!$D$17)," ↓","")))))</f>
        <v/>
      </c>
      <c r="N24" s="39">
        <f>IF(OR($B24="",INDEX('Utrekning'!$M$2:$M$41,'Utrekning'!$D$17)=0),"",CHOOSE(INDEX('Utrekning'!$M$2:$M$41,'Utrekning'!$D$17),"●","▲","■")&amp;IF(INDEX('Utrekning'!$AK$2:$AK$41,'Utrekning'!$D$17)&gt;1," "&amp;INDEX('Utrekning'!$AK$2:$AK$41,'Utrekning'!$D$17),"")&amp;IF($C$6="","",IF(INDEX('Utrekning'!$Y$2:$Y$41,'Utrekning'!$D$17)=0," ✱",IF(INDEX('Utrekning'!$M$2:$M$41,'Utrekning'!$D$17)&gt;INDEX('Utrekning'!$Y$2:$Y$41,'Utrekning'!$D$17)," ↑",IF(INDEX('Utrekning'!$M$2:$M$41,'Utrekning'!$D$17)&lt;INDEX('Utrekning'!$Y$2:$Y$41,'Utrekning'!$D$17)," ↓","")))))</f>
        <v/>
      </c>
      <c r="O24" s="39">
        <f>IF(OR($B24="",INDEX('Utrekning'!$N$2:$N$41,'Utrekning'!$D$17)=0),"",CHOOSE(INDEX('Utrekning'!$N$2:$N$41,'Utrekning'!$D$17),"●","▲","■")&amp;IF(INDEX('Utrekning'!$AL$2:$AL$41,'Utrekning'!$D$17)&gt;1," "&amp;INDEX('Utrekning'!$AL$2:$AL$41,'Utrekning'!$D$17),"")&amp;IF($C$6="","",IF(INDEX('Utrekning'!$Z$2:$Z$41,'Utrekning'!$D$17)=0," ✱",IF(INDEX('Utrekning'!$N$2:$N$41,'Utrekning'!$D$17)&gt;INDEX('Utrekning'!$Z$2:$Z$41,'Utrekning'!$D$17)," ↑",IF(INDEX('Utrekning'!$N$2:$N$41,'Utrekning'!$D$17)&lt;INDEX('Utrekning'!$Z$2:$Z$41,'Utrekning'!$D$17)," ↓","")))))</f>
        <v/>
      </c>
      <c r="P24" s="39">
        <f>IF(OR($B24="",INDEX('Utrekning'!$O$2:$O$41,'Utrekning'!$D$17)=0),"",CHOOSE(INDEX('Utrekning'!$O$2:$O$41,'Utrekning'!$D$17),"●","▲","■")&amp;IF(INDEX('Utrekning'!$AM$2:$AM$41,'Utrekning'!$D$17)&gt;1," "&amp;INDEX('Utrekning'!$AM$2:$AM$41,'Utrekning'!$D$17),"")&amp;IF($C$6="","",IF(INDEX('Utrekning'!$AA$2:$AA$41,'Utrekning'!$D$17)=0," ✱",IF(INDEX('Utrekning'!$O$2:$O$41,'Utrekning'!$D$17)&gt;INDEX('Utrekning'!$AA$2:$AA$41,'Utrekning'!$D$17)," ↑",IF(INDEX('Utrekning'!$O$2:$O$41,'Utrekning'!$D$17)&lt;INDEX('Utrekning'!$AA$2:$AA$41,'Utrekning'!$D$17)," ↓","")))))</f>
        <v/>
      </c>
      <c r="Q24" s="39">
        <f>IF(OR($B24="",INDEX('Utrekning'!$P$2:$P$41,'Utrekning'!$D$17)=0),"",CHOOSE(INDEX('Utrekning'!$P$2:$P$41,'Utrekning'!$D$17),"●","▲","■")&amp;IF(INDEX('Utrekning'!$AN$2:$AN$41,'Utrekning'!$D$17)&gt;1," "&amp;INDEX('Utrekning'!$AN$2:$AN$41,'Utrekning'!$D$17),"")&amp;IF($C$6="","",IF(INDEX('Utrekning'!$AB$2:$AB$41,'Utrekning'!$D$17)=0," ✱",IF(INDEX('Utrekning'!$P$2:$P$41,'Utrekning'!$D$17)&gt;INDEX('Utrekning'!$AB$2:$AB$41,'Utrekning'!$D$17)," ↑",IF(INDEX('Utrekning'!$P$2:$P$41,'Utrekning'!$D$17)&lt;INDEX('Utrekning'!$AB$2:$AB$41,'Utrekning'!$D$17)," ↓","")))))</f>
        <v/>
      </c>
    </row>
    <row r="25" ht="22" customHeight="1">
      <c r="B25" s="37">
        <f>IFERROR(INDEX('Utrekning'!$B$2:$B$41,'Utrekning'!$D$18),"")</f>
        <v/>
      </c>
      <c r="C25" s="38">
        <f>IF($B25="","",COUNTIF(INDEX('Utrekning'!$E$2:$P$41,'Utrekning'!$D$18,0),3))</f>
        <v/>
      </c>
      <c r="D25" s="38">
        <f>IF($B25="","",COUNTIF(INDEX('Utrekning'!$E$2:$P$41,'Utrekning'!$D$18,0),2))</f>
        <v/>
      </c>
      <c r="E25" s="38">
        <f>IF($B25="","",COUNTIFS('Tiltak'!$B$2:$B$251,$C$5,'Tiltak'!$C$2:$C$251,$B25,'Tiltak'!$E$2:$E$251,"&lt;&gt;",'Tiltak'!$H$2:$H$251,"&lt;&gt;Avslutta",'Tiltak'!$H$2:$H$251,"&lt;&gt;Avsluttet"))</f>
        <v/>
      </c>
      <c r="F25" s="39">
        <f>IF(OR($B25="",INDEX('Utrekning'!$E$2:$E$41,'Utrekning'!$D$18)=0),"",CHOOSE(INDEX('Utrekning'!$E$2:$E$41,'Utrekning'!$D$18),"●","▲","■")&amp;IF(INDEX('Utrekning'!$AC$2:$AC$41,'Utrekning'!$D$18)&gt;1," "&amp;INDEX('Utrekning'!$AC$2:$AC$41,'Utrekning'!$D$18),"")&amp;IF($C$6="","",IF(INDEX('Utrekning'!$Q$2:$Q$41,'Utrekning'!$D$18)=0," ✱",IF(INDEX('Utrekning'!$E$2:$E$41,'Utrekning'!$D$18)&gt;INDEX('Utrekning'!$Q$2:$Q$41,'Utrekning'!$D$18)," ↑",IF(INDEX('Utrekning'!$E$2:$E$41,'Utrekning'!$D$18)&lt;INDEX('Utrekning'!$Q$2:$Q$41,'Utrekning'!$D$18)," ↓","")))))</f>
        <v/>
      </c>
      <c r="G25" s="39">
        <f>IF(OR($B25="",INDEX('Utrekning'!$F$2:$F$41,'Utrekning'!$D$18)=0),"",CHOOSE(INDEX('Utrekning'!$F$2:$F$41,'Utrekning'!$D$18),"●","▲","■")&amp;IF(INDEX('Utrekning'!$AD$2:$AD$41,'Utrekning'!$D$18)&gt;1," "&amp;INDEX('Utrekning'!$AD$2:$AD$41,'Utrekning'!$D$18),"")&amp;IF($C$6="","",IF(INDEX('Utrekning'!$R$2:$R$41,'Utrekning'!$D$18)=0," ✱",IF(INDEX('Utrekning'!$F$2:$F$41,'Utrekning'!$D$18)&gt;INDEX('Utrekning'!$R$2:$R$41,'Utrekning'!$D$18)," ↑",IF(INDEX('Utrekning'!$F$2:$F$41,'Utrekning'!$D$18)&lt;INDEX('Utrekning'!$R$2:$R$41,'Utrekning'!$D$18)," ↓","")))))</f>
        <v/>
      </c>
      <c r="H25" s="39">
        <f>IF(OR($B25="",INDEX('Utrekning'!$G$2:$G$41,'Utrekning'!$D$18)=0),"",CHOOSE(INDEX('Utrekning'!$G$2:$G$41,'Utrekning'!$D$18),"●","▲","■")&amp;IF(INDEX('Utrekning'!$AE$2:$AE$41,'Utrekning'!$D$18)&gt;1," "&amp;INDEX('Utrekning'!$AE$2:$AE$41,'Utrekning'!$D$18),"")&amp;IF($C$6="","",IF(INDEX('Utrekning'!$S$2:$S$41,'Utrekning'!$D$18)=0," ✱",IF(INDEX('Utrekning'!$G$2:$G$41,'Utrekning'!$D$18)&gt;INDEX('Utrekning'!$S$2:$S$41,'Utrekning'!$D$18)," ↑",IF(INDEX('Utrekning'!$G$2:$G$41,'Utrekning'!$D$18)&lt;INDEX('Utrekning'!$S$2:$S$41,'Utrekning'!$D$18)," ↓","")))))</f>
        <v/>
      </c>
      <c r="I25" s="39">
        <f>IF(OR($B25="",INDEX('Utrekning'!$H$2:$H$41,'Utrekning'!$D$18)=0),"",CHOOSE(INDEX('Utrekning'!$H$2:$H$41,'Utrekning'!$D$18),"●","▲","■")&amp;IF(INDEX('Utrekning'!$AF$2:$AF$41,'Utrekning'!$D$18)&gt;1," "&amp;INDEX('Utrekning'!$AF$2:$AF$41,'Utrekning'!$D$18),"")&amp;IF($C$6="","",IF(INDEX('Utrekning'!$T$2:$T$41,'Utrekning'!$D$18)=0," ✱",IF(INDEX('Utrekning'!$H$2:$H$41,'Utrekning'!$D$18)&gt;INDEX('Utrekning'!$T$2:$T$41,'Utrekning'!$D$18)," ↑",IF(INDEX('Utrekning'!$H$2:$H$41,'Utrekning'!$D$18)&lt;INDEX('Utrekning'!$T$2:$T$41,'Utrekning'!$D$18)," ↓","")))))</f>
        <v/>
      </c>
      <c r="J25" s="39">
        <f>IF(OR($B25="",INDEX('Utrekning'!$I$2:$I$41,'Utrekning'!$D$18)=0),"",CHOOSE(INDEX('Utrekning'!$I$2:$I$41,'Utrekning'!$D$18),"●","▲","■")&amp;IF(INDEX('Utrekning'!$AG$2:$AG$41,'Utrekning'!$D$18)&gt;1," "&amp;INDEX('Utrekning'!$AG$2:$AG$41,'Utrekning'!$D$18),"")&amp;IF($C$6="","",IF(INDEX('Utrekning'!$U$2:$U$41,'Utrekning'!$D$18)=0," ✱",IF(INDEX('Utrekning'!$I$2:$I$41,'Utrekning'!$D$18)&gt;INDEX('Utrekning'!$U$2:$U$41,'Utrekning'!$D$18)," ↑",IF(INDEX('Utrekning'!$I$2:$I$41,'Utrekning'!$D$18)&lt;INDEX('Utrekning'!$U$2:$U$41,'Utrekning'!$D$18)," ↓","")))))</f>
        <v/>
      </c>
      <c r="K25" s="39">
        <f>IF(OR($B25="",INDEX('Utrekning'!$J$2:$J$41,'Utrekning'!$D$18)=0),"",CHOOSE(INDEX('Utrekning'!$J$2:$J$41,'Utrekning'!$D$18),"●","▲","■")&amp;IF(INDEX('Utrekning'!$AH$2:$AH$41,'Utrekning'!$D$18)&gt;1," "&amp;INDEX('Utrekning'!$AH$2:$AH$41,'Utrekning'!$D$18),"")&amp;IF($C$6="","",IF(INDEX('Utrekning'!$V$2:$V$41,'Utrekning'!$D$18)=0," ✱",IF(INDEX('Utrekning'!$J$2:$J$41,'Utrekning'!$D$18)&gt;INDEX('Utrekning'!$V$2:$V$41,'Utrekning'!$D$18)," ↑",IF(INDEX('Utrekning'!$J$2:$J$41,'Utrekning'!$D$18)&lt;INDEX('Utrekning'!$V$2:$V$41,'Utrekning'!$D$18)," ↓","")))))</f>
        <v/>
      </c>
      <c r="L25" s="39">
        <f>IF(OR($B25="",INDEX('Utrekning'!$K$2:$K$41,'Utrekning'!$D$18)=0),"",CHOOSE(INDEX('Utrekning'!$K$2:$K$41,'Utrekning'!$D$18),"●","▲","■")&amp;IF(INDEX('Utrekning'!$AI$2:$AI$41,'Utrekning'!$D$18)&gt;1," "&amp;INDEX('Utrekning'!$AI$2:$AI$41,'Utrekning'!$D$18),"")&amp;IF($C$6="","",IF(INDEX('Utrekning'!$W$2:$W$41,'Utrekning'!$D$18)=0," ✱",IF(INDEX('Utrekning'!$K$2:$K$41,'Utrekning'!$D$18)&gt;INDEX('Utrekning'!$W$2:$W$41,'Utrekning'!$D$18)," ↑",IF(INDEX('Utrekning'!$K$2:$K$41,'Utrekning'!$D$18)&lt;INDEX('Utrekning'!$W$2:$W$41,'Utrekning'!$D$18)," ↓","")))))</f>
        <v/>
      </c>
      <c r="M25" s="39">
        <f>IF(OR($B25="",INDEX('Utrekning'!$L$2:$L$41,'Utrekning'!$D$18)=0),"",CHOOSE(INDEX('Utrekning'!$L$2:$L$41,'Utrekning'!$D$18),"●","▲","■")&amp;IF(INDEX('Utrekning'!$AJ$2:$AJ$41,'Utrekning'!$D$18)&gt;1," "&amp;INDEX('Utrekning'!$AJ$2:$AJ$41,'Utrekning'!$D$18),"")&amp;IF($C$6="","",IF(INDEX('Utrekning'!$X$2:$X$41,'Utrekning'!$D$18)=0," ✱",IF(INDEX('Utrekning'!$L$2:$L$41,'Utrekning'!$D$18)&gt;INDEX('Utrekning'!$X$2:$X$41,'Utrekning'!$D$18)," ↑",IF(INDEX('Utrekning'!$L$2:$L$41,'Utrekning'!$D$18)&lt;INDEX('Utrekning'!$X$2:$X$41,'Utrekning'!$D$18)," ↓","")))))</f>
        <v/>
      </c>
      <c r="N25" s="39">
        <f>IF(OR($B25="",INDEX('Utrekning'!$M$2:$M$41,'Utrekning'!$D$18)=0),"",CHOOSE(INDEX('Utrekning'!$M$2:$M$41,'Utrekning'!$D$18),"●","▲","■")&amp;IF(INDEX('Utrekning'!$AK$2:$AK$41,'Utrekning'!$D$18)&gt;1," "&amp;INDEX('Utrekning'!$AK$2:$AK$41,'Utrekning'!$D$18),"")&amp;IF($C$6="","",IF(INDEX('Utrekning'!$Y$2:$Y$41,'Utrekning'!$D$18)=0," ✱",IF(INDEX('Utrekning'!$M$2:$M$41,'Utrekning'!$D$18)&gt;INDEX('Utrekning'!$Y$2:$Y$41,'Utrekning'!$D$18)," ↑",IF(INDEX('Utrekning'!$M$2:$M$41,'Utrekning'!$D$18)&lt;INDEX('Utrekning'!$Y$2:$Y$41,'Utrekning'!$D$18)," ↓","")))))</f>
        <v/>
      </c>
      <c r="O25" s="39">
        <f>IF(OR($B25="",INDEX('Utrekning'!$N$2:$N$41,'Utrekning'!$D$18)=0),"",CHOOSE(INDEX('Utrekning'!$N$2:$N$41,'Utrekning'!$D$18),"●","▲","■")&amp;IF(INDEX('Utrekning'!$AL$2:$AL$41,'Utrekning'!$D$18)&gt;1," "&amp;INDEX('Utrekning'!$AL$2:$AL$41,'Utrekning'!$D$18),"")&amp;IF($C$6="","",IF(INDEX('Utrekning'!$Z$2:$Z$41,'Utrekning'!$D$18)=0," ✱",IF(INDEX('Utrekning'!$N$2:$N$41,'Utrekning'!$D$18)&gt;INDEX('Utrekning'!$Z$2:$Z$41,'Utrekning'!$D$18)," ↑",IF(INDEX('Utrekning'!$N$2:$N$41,'Utrekning'!$D$18)&lt;INDEX('Utrekning'!$Z$2:$Z$41,'Utrekning'!$D$18)," ↓","")))))</f>
        <v/>
      </c>
      <c r="P25" s="39">
        <f>IF(OR($B25="",INDEX('Utrekning'!$O$2:$O$41,'Utrekning'!$D$18)=0),"",CHOOSE(INDEX('Utrekning'!$O$2:$O$41,'Utrekning'!$D$18),"●","▲","■")&amp;IF(INDEX('Utrekning'!$AM$2:$AM$41,'Utrekning'!$D$18)&gt;1," "&amp;INDEX('Utrekning'!$AM$2:$AM$41,'Utrekning'!$D$18),"")&amp;IF($C$6="","",IF(INDEX('Utrekning'!$AA$2:$AA$41,'Utrekning'!$D$18)=0," ✱",IF(INDEX('Utrekning'!$O$2:$O$41,'Utrekning'!$D$18)&gt;INDEX('Utrekning'!$AA$2:$AA$41,'Utrekning'!$D$18)," ↑",IF(INDEX('Utrekning'!$O$2:$O$41,'Utrekning'!$D$18)&lt;INDEX('Utrekning'!$AA$2:$AA$41,'Utrekning'!$D$18)," ↓","")))))</f>
        <v/>
      </c>
      <c r="Q25" s="39">
        <f>IF(OR($B25="",INDEX('Utrekning'!$P$2:$P$41,'Utrekning'!$D$18)=0),"",CHOOSE(INDEX('Utrekning'!$P$2:$P$41,'Utrekning'!$D$18),"●","▲","■")&amp;IF(INDEX('Utrekning'!$AN$2:$AN$41,'Utrekning'!$D$18)&gt;1," "&amp;INDEX('Utrekning'!$AN$2:$AN$41,'Utrekning'!$D$18),"")&amp;IF($C$6="","",IF(INDEX('Utrekning'!$AB$2:$AB$41,'Utrekning'!$D$18)=0," ✱",IF(INDEX('Utrekning'!$P$2:$P$41,'Utrekning'!$D$18)&gt;INDEX('Utrekning'!$AB$2:$AB$41,'Utrekning'!$D$18)," ↑",IF(INDEX('Utrekning'!$P$2:$P$41,'Utrekning'!$D$18)&lt;INDEX('Utrekning'!$AB$2:$AB$41,'Utrekning'!$D$18)," ↓","")))))</f>
        <v/>
      </c>
    </row>
    <row r="26" ht="22" customHeight="1">
      <c r="B26" s="37">
        <f>IFERROR(INDEX('Utrekning'!$B$2:$B$41,'Utrekning'!$D$19),"")</f>
        <v/>
      </c>
      <c r="C26" s="38">
        <f>IF($B26="","",COUNTIF(INDEX('Utrekning'!$E$2:$P$41,'Utrekning'!$D$19,0),3))</f>
        <v/>
      </c>
      <c r="D26" s="38">
        <f>IF($B26="","",COUNTIF(INDEX('Utrekning'!$E$2:$P$41,'Utrekning'!$D$19,0),2))</f>
        <v/>
      </c>
      <c r="E26" s="38">
        <f>IF($B26="","",COUNTIFS('Tiltak'!$B$2:$B$251,$C$5,'Tiltak'!$C$2:$C$251,$B26,'Tiltak'!$E$2:$E$251,"&lt;&gt;",'Tiltak'!$H$2:$H$251,"&lt;&gt;Avslutta",'Tiltak'!$H$2:$H$251,"&lt;&gt;Avsluttet"))</f>
        <v/>
      </c>
      <c r="F26" s="39">
        <f>IF(OR($B26="",INDEX('Utrekning'!$E$2:$E$41,'Utrekning'!$D$19)=0),"",CHOOSE(INDEX('Utrekning'!$E$2:$E$41,'Utrekning'!$D$19),"●","▲","■")&amp;IF(INDEX('Utrekning'!$AC$2:$AC$41,'Utrekning'!$D$19)&gt;1," "&amp;INDEX('Utrekning'!$AC$2:$AC$41,'Utrekning'!$D$19),"")&amp;IF($C$6="","",IF(INDEX('Utrekning'!$Q$2:$Q$41,'Utrekning'!$D$19)=0," ✱",IF(INDEX('Utrekning'!$E$2:$E$41,'Utrekning'!$D$19)&gt;INDEX('Utrekning'!$Q$2:$Q$41,'Utrekning'!$D$19)," ↑",IF(INDEX('Utrekning'!$E$2:$E$41,'Utrekning'!$D$19)&lt;INDEX('Utrekning'!$Q$2:$Q$41,'Utrekning'!$D$19)," ↓","")))))</f>
        <v/>
      </c>
      <c r="G26" s="39">
        <f>IF(OR($B26="",INDEX('Utrekning'!$F$2:$F$41,'Utrekning'!$D$19)=0),"",CHOOSE(INDEX('Utrekning'!$F$2:$F$41,'Utrekning'!$D$19),"●","▲","■")&amp;IF(INDEX('Utrekning'!$AD$2:$AD$41,'Utrekning'!$D$19)&gt;1," "&amp;INDEX('Utrekning'!$AD$2:$AD$41,'Utrekning'!$D$19),"")&amp;IF($C$6="","",IF(INDEX('Utrekning'!$R$2:$R$41,'Utrekning'!$D$19)=0," ✱",IF(INDEX('Utrekning'!$F$2:$F$41,'Utrekning'!$D$19)&gt;INDEX('Utrekning'!$R$2:$R$41,'Utrekning'!$D$19)," ↑",IF(INDEX('Utrekning'!$F$2:$F$41,'Utrekning'!$D$19)&lt;INDEX('Utrekning'!$R$2:$R$41,'Utrekning'!$D$19)," ↓","")))))</f>
        <v/>
      </c>
      <c r="H26" s="39">
        <f>IF(OR($B26="",INDEX('Utrekning'!$G$2:$G$41,'Utrekning'!$D$19)=0),"",CHOOSE(INDEX('Utrekning'!$G$2:$G$41,'Utrekning'!$D$19),"●","▲","■")&amp;IF(INDEX('Utrekning'!$AE$2:$AE$41,'Utrekning'!$D$19)&gt;1," "&amp;INDEX('Utrekning'!$AE$2:$AE$41,'Utrekning'!$D$19),"")&amp;IF($C$6="","",IF(INDEX('Utrekning'!$S$2:$S$41,'Utrekning'!$D$19)=0," ✱",IF(INDEX('Utrekning'!$G$2:$G$41,'Utrekning'!$D$19)&gt;INDEX('Utrekning'!$S$2:$S$41,'Utrekning'!$D$19)," ↑",IF(INDEX('Utrekning'!$G$2:$G$41,'Utrekning'!$D$19)&lt;INDEX('Utrekning'!$S$2:$S$41,'Utrekning'!$D$19)," ↓","")))))</f>
        <v/>
      </c>
      <c r="I26" s="39">
        <f>IF(OR($B26="",INDEX('Utrekning'!$H$2:$H$41,'Utrekning'!$D$19)=0),"",CHOOSE(INDEX('Utrekning'!$H$2:$H$41,'Utrekning'!$D$19),"●","▲","■")&amp;IF(INDEX('Utrekning'!$AF$2:$AF$41,'Utrekning'!$D$19)&gt;1," "&amp;INDEX('Utrekning'!$AF$2:$AF$41,'Utrekning'!$D$19),"")&amp;IF($C$6="","",IF(INDEX('Utrekning'!$T$2:$T$41,'Utrekning'!$D$19)=0," ✱",IF(INDEX('Utrekning'!$H$2:$H$41,'Utrekning'!$D$19)&gt;INDEX('Utrekning'!$T$2:$T$41,'Utrekning'!$D$19)," ↑",IF(INDEX('Utrekning'!$H$2:$H$41,'Utrekning'!$D$19)&lt;INDEX('Utrekning'!$T$2:$T$41,'Utrekning'!$D$19)," ↓","")))))</f>
        <v/>
      </c>
      <c r="J26" s="39">
        <f>IF(OR($B26="",INDEX('Utrekning'!$I$2:$I$41,'Utrekning'!$D$19)=0),"",CHOOSE(INDEX('Utrekning'!$I$2:$I$41,'Utrekning'!$D$19),"●","▲","■")&amp;IF(INDEX('Utrekning'!$AG$2:$AG$41,'Utrekning'!$D$19)&gt;1," "&amp;INDEX('Utrekning'!$AG$2:$AG$41,'Utrekning'!$D$19),"")&amp;IF($C$6="","",IF(INDEX('Utrekning'!$U$2:$U$41,'Utrekning'!$D$19)=0," ✱",IF(INDEX('Utrekning'!$I$2:$I$41,'Utrekning'!$D$19)&gt;INDEX('Utrekning'!$U$2:$U$41,'Utrekning'!$D$19)," ↑",IF(INDEX('Utrekning'!$I$2:$I$41,'Utrekning'!$D$19)&lt;INDEX('Utrekning'!$U$2:$U$41,'Utrekning'!$D$19)," ↓","")))))</f>
        <v/>
      </c>
      <c r="K26" s="39">
        <f>IF(OR($B26="",INDEX('Utrekning'!$J$2:$J$41,'Utrekning'!$D$19)=0),"",CHOOSE(INDEX('Utrekning'!$J$2:$J$41,'Utrekning'!$D$19),"●","▲","■")&amp;IF(INDEX('Utrekning'!$AH$2:$AH$41,'Utrekning'!$D$19)&gt;1," "&amp;INDEX('Utrekning'!$AH$2:$AH$41,'Utrekning'!$D$19),"")&amp;IF($C$6="","",IF(INDEX('Utrekning'!$V$2:$V$41,'Utrekning'!$D$19)=0," ✱",IF(INDEX('Utrekning'!$J$2:$J$41,'Utrekning'!$D$19)&gt;INDEX('Utrekning'!$V$2:$V$41,'Utrekning'!$D$19)," ↑",IF(INDEX('Utrekning'!$J$2:$J$41,'Utrekning'!$D$19)&lt;INDEX('Utrekning'!$V$2:$V$41,'Utrekning'!$D$19)," ↓","")))))</f>
        <v/>
      </c>
      <c r="L26" s="39">
        <f>IF(OR($B26="",INDEX('Utrekning'!$K$2:$K$41,'Utrekning'!$D$19)=0),"",CHOOSE(INDEX('Utrekning'!$K$2:$K$41,'Utrekning'!$D$19),"●","▲","■")&amp;IF(INDEX('Utrekning'!$AI$2:$AI$41,'Utrekning'!$D$19)&gt;1," "&amp;INDEX('Utrekning'!$AI$2:$AI$41,'Utrekning'!$D$19),"")&amp;IF($C$6="","",IF(INDEX('Utrekning'!$W$2:$W$41,'Utrekning'!$D$19)=0," ✱",IF(INDEX('Utrekning'!$K$2:$K$41,'Utrekning'!$D$19)&gt;INDEX('Utrekning'!$W$2:$W$41,'Utrekning'!$D$19)," ↑",IF(INDEX('Utrekning'!$K$2:$K$41,'Utrekning'!$D$19)&lt;INDEX('Utrekning'!$W$2:$W$41,'Utrekning'!$D$19)," ↓","")))))</f>
        <v/>
      </c>
      <c r="M26" s="39">
        <f>IF(OR($B26="",INDEX('Utrekning'!$L$2:$L$41,'Utrekning'!$D$19)=0),"",CHOOSE(INDEX('Utrekning'!$L$2:$L$41,'Utrekning'!$D$19),"●","▲","■")&amp;IF(INDEX('Utrekning'!$AJ$2:$AJ$41,'Utrekning'!$D$19)&gt;1," "&amp;INDEX('Utrekning'!$AJ$2:$AJ$41,'Utrekning'!$D$19),"")&amp;IF($C$6="","",IF(INDEX('Utrekning'!$X$2:$X$41,'Utrekning'!$D$19)=0," ✱",IF(INDEX('Utrekning'!$L$2:$L$41,'Utrekning'!$D$19)&gt;INDEX('Utrekning'!$X$2:$X$41,'Utrekning'!$D$19)," ↑",IF(INDEX('Utrekning'!$L$2:$L$41,'Utrekning'!$D$19)&lt;INDEX('Utrekning'!$X$2:$X$41,'Utrekning'!$D$19)," ↓","")))))</f>
        <v/>
      </c>
      <c r="N26" s="39">
        <f>IF(OR($B26="",INDEX('Utrekning'!$M$2:$M$41,'Utrekning'!$D$19)=0),"",CHOOSE(INDEX('Utrekning'!$M$2:$M$41,'Utrekning'!$D$19),"●","▲","■")&amp;IF(INDEX('Utrekning'!$AK$2:$AK$41,'Utrekning'!$D$19)&gt;1," "&amp;INDEX('Utrekning'!$AK$2:$AK$41,'Utrekning'!$D$19),"")&amp;IF($C$6="","",IF(INDEX('Utrekning'!$Y$2:$Y$41,'Utrekning'!$D$19)=0," ✱",IF(INDEX('Utrekning'!$M$2:$M$41,'Utrekning'!$D$19)&gt;INDEX('Utrekning'!$Y$2:$Y$41,'Utrekning'!$D$19)," ↑",IF(INDEX('Utrekning'!$M$2:$M$41,'Utrekning'!$D$19)&lt;INDEX('Utrekning'!$Y$2:$Y$41,'Utrekning'!$D$19)," ↓","")))))</f>
        <v/>
      </c>
      <c r="O26" s="39">
        <f>IF(OR($B26="",INDEX('Utrekning'!$N$2:$N$41,'Utrekning'!$D$19)=0),"",CHOOSE(INDEX('Utrekning'!$N$2:$N$41,'Utrekning'!$D$19),"●","▲","■")&amp;IF(INDEX('Utrekning'!$AL$2:$AL$41,'Utrekning'!$D$19)&gt;1," "&amp;INDEX('Utrekning'!$AL$2:$AL$41,'Utrekning'!$D$19),"")&amp;IF($C$6="","",IF(INDEX('Utrekning'!$Z$2:$Z$41,'Utrekning'!$D$19)=0," ✱",IF(INDEX('Utrekning'!$N$2:$N$41,'Utrekning'!$D$19)&gt;INDEX('Utrekning'!$Z$2:$Z$41,'Utrekning'!$D$19)," ↑",IF(INDEX('Utrekning'!$N$2:$N$41,'Utrekning'!$D$19)&lt;INDEX('Utrekning'!$Z$2:$Z$41,'Utrekning'!$D$19)," ↓","")))))</f>
        <v/>
      </c>
      <c r="P26" s="39">
        <f>IF(OR($B26="",INDEX('Utrekning'!$O$2:$O$41,'Utrekning'!$D$19)=0),"",CHOOSE(INDEX('Utrekning'!$O$2:$O$41,'Utrekning'!$D$19),"●","▲","■")&amp;IF(INDEX('Utrekning'!$AM$2:$AM$41,'Utrekning'!$D$19)&gt;1," "&amp;INDEX('Utrekning'!$AM$2:$AM$41,'Utrekning'!$D$19),"")&amp;IF($C$6="","",IF(INDEX('Utrekning'!$AA$2:$AA$41,'Utrekning'!$D$19)=0," ✱",IF(INDEX('Utrekning'!$O$2:$O$41,'Utrekning'!$D$19)&gt;INDEX('Utrekning'!$AA$2:$AA$41,'Utrekning'!$D$19)," ↑",IF(INDEX('Utrekning'!$O$2:$O$41,'Utrekning'!$D$19)&lt;INDEX('Utrekning'!$AA$2:$AA$41,'Utrekning'!$D$19)," ↓","")))))</f>
        <v/>
      </c>
      <c r="Q26" s="39">
        <f>IF(OR($B26="",INDEX('Utrekning'!$P$2:$P$41,'Utrekning'!$D$19)=0),"",CHOOSE(INDEX('Utrekning'!$P$2:$P$41,'Utrekning'!$D$19),"●","▲","■")&amp;IF(INDEX('Utrekning'!$AN$2:$AN$41,'Utrekning'!$D$19)&gt;1," "&amp;INDEX('Utrekning'!$AN$2:$AN$41,'Utrekning'!$D$19),"")&amp;IF($C$6="","",IF(INDEX('Utrekning'!$AB$2:$AB$41,'Utrekning'!$D$19)=0," ✱",IF(INDEX('Utrekning'!$P$2:$P$41,'Utrekning'!$D$19)&gt;INDEX('Utrekning'!$AB$2:$AB$41,'Utrekning'!$D$19)," ↑",IF(INDEX('Utrekning'!$P$2:$P$41,'Utrekning'!$D$19)&lt;INDEX('Utrekning'!$AB$2:$AB$41,'Utrekning'!$D$19)," ↓","")))))</f>
        <v/>
      </c>
    </row>
    <row r="27" ht="22" customHeight="1">
      <c r="B27" s="37">
        <f>IFERROR(INDEX('Utrekning'!$B$2:$B$41,'Utrekning'!$D$20),"")</f>
        <v/>
      </c>
      <c r="C27" s="38">
        <f>IF($B27="","",COUNTIF(INDEX('Utrekning'!$E$2:$P$41,'Utrekning'!$D$20,0),3))</f>
        <v/>
      </c>
      <c r="D27" s="38">
        <f>IF($B27="","",COUNTIF(INDEX('Utrekning'!$E$2:$P$41,'Utrekning'!$D$20,0),2))</f>
        <v/>
      </c>
      <c r="E27" s="38">
        <f>IF($B27="","",COUNTIFS('Tiltak'!$B$2:$B$251,$C$5,'Tiltak'!$C$2:$C$251,$B27,'Tiltak'!$E$2:$E$251,"&lt;&gt;",'Tiltak'!$H$2:$H$251,"&lt;&gt;Avslutta",'Tiltak'!$H$2:$H$251,"&lt;&gt;Avsluttet"))</f>
        <v/>
      </c>
      <c r="F27" s="39">
        <f>IF(OR($B27="",INDEX('Utrekning'!$E$2:$E$41,'Utrekning'!$D$20)=0),"",CHOOSE(INDEX('Utrekning'!$E$2:$E$41,'Utrekning'!$D$20),"●","▲","■")&amp;IF(INDEX('Utrekning'!$AC$2:$AC$41,'Utrekning'!$D$20)&gt;1," "&amp;INDEX('Utrekning'!$AC$2:$AC$41,'Utrekning'!$D$20),"")&amp;IF($C$6="","",IF(INDEX('Utrekning'!$Q$2:$Q$41,'Utrekning'!$D$20)=0," ✱",IF(INDEX('Utrekning'!$E$2:$E$41,'Utrekning'!$D$20)&gt;INDEX('Utrekning'!$Q$2:$Q$41,'Utrekning'!$D$20)," ↑",IF(INDEX('Utrekning'!$E$2:$E$41,'Utrekning'!$D$20)&lt;INDEX('Utrekning'!$Q$2:$Q$41,'Utrekning'!$D$20)," ↓","")))))</f>
        <v/>
      </c>
      <c r="G27" s="39">
        <f>IF(OR($B27="",INDEX('Utrekning'!$F$2:$F$41,'Utrekning'!$D$20)=0),"",CHOOSE(INDEX('Utrekning'!$F$2:$F$41,'Utrekning'!$D$20),"●","▲","■")&amp;IF(INDEX('Utrekning'!$AD$2:$AD$41,'Utrekning'!$D$20)&gt;1," "&amp;INDEX('Utrekning'!$AD$2:$AD$41,'Utrekning'!$D$20),"")&amp;IF($C$6="","",IF(INDEX('Utrekning'!$R$2:$R$41,'Utrekning'!$D$20)=0," ✱",IF(INDEX('Utrekning'!$F$2:$F$41,'Utrekning'!$D$20)&gt;INDEX('Utrekning'!$R$2:$R$41,'Utrekning'!$D$20)," ↑",IF(INDEX('Utrekning'!$F$2:$F$41,'Utrekning'!$D$20)&lt;INDEX('Utrekning'!$R$2:$R$41,'Utrekning'!$D$20)," ↓","")))))</f>
        <v/>
      </c>
      <c r="H27" s="39">
        <f>IF(OR($B27="",INDEX('Utrekning'!$G$2:$G$41,'Utrekning'!$D$20)=0),"",CHOOSE(INDEX('Utrekning'!$G$2:$G$41,'Utrekning'!$D$20),"●","▲","■")&amp;IF(INDEX('Utrekning'!$AE$2:$AE$41,'Utrekning'!$D$20)&gt;1," "&amp;INDEX('Utrekning'!$AE$2:$AE$41,'Utrekning'!$D$20),"")&amp;IF($C$6="","",IF(INDEX('Utrekning'!$S$2:$S$41,'Utrekning'!$D$20)=0," ✱",IF(INDEX('Utrekning'!$G$2:$G$41,'Utrekning'!$D$20)&gt;INDEX('Utrekning'!$S$2:$S$41,'Utrekning'!$D$20)," ↑",IF(INDEX('Utrekning'!$G$2:$G$41,'Utrekning'!$D$20)&lt;INDEX('Utrekning'!$S$2:$S$41,'Utrekning'!$D$20)," ↓","")))))</f>
        <v/>
      </c>
      <c r="I27" s="39">
        <f>IF(OR($B27="",INDEX('Utrekning'!$H$2:$H$41,'Utrekning'!$D$20)=0),"",CHOOSE(INDEX('Utrekning'!$H$2:$H$41,'Utrekning'!$D$20),"●","▲","■")&amp;IF(INDEX('Utrekning'!$AF$2:$AF$41,'Utrekning'!$D$20)&gt;1," "&amp;INDEX('Utrekning'!$AF$2:$AF$41,'Utrekning'!$D$20),"")&amp;IF($C$6="","",IF(INDEX('Utrekning'!$T$2:$T$41,'Utrekning'!$D$20)=0," ✱",IF(INDEX('Utrekning'!$H$2:$H$41,'Utrekning'!$D$20)&gt;INDEX('Utrekning'!$T$2:$T$41,'Utrekning'!$D$20)," ↑",IF(INDEX('Utrekning'!$H$2:$H$41,'Utrekning'!$D$20)&lt;INDEX('Utrekning'!$T$2:$T$41,'Utrekning'!$D$20)," ↓","")))))</f>
        <v/>
      </c>
      <c r="J27" s="39">
        <f>IF(OR($B27="",INDEX('Utrekning'!$I$2:$I$41,'Utrekning'!$D$20)=0),"",CHOOSE(INDEX('Utrekning'!$I$2:$I$41,'Utrekning'!$D$20),"●","▲","■")&amp;IF(INDEX('Utrekning'!$AG$2:$AG$41,'Utrekning'!$D$20)&gt;1," "&amp;INDEX('Utrekning'!$AG$2:$AG$41,'Utrekning'!$D$20),"")&amp;IF($C$6="","",IF(INDEX('Utrekning'!$U$2:$U$41,'Utrekning'!$D$20)=0," ✱",IF(INDEX('Utrekning'!$I$2:$I$41,'Utrekning'!$D$20)&gt;INDEX('Utrekning'!$U$2:$U$41,'Utrekning'!$D$20)," ↑",IF(INDEX('Utrekning'!$I$2:$I$41,'Utrekning'!$D$20)&lt;INDEX('Utrekning'!$U$2:$U$41,'Utrekning'!$D$20)," ↓","")))))</f>
        <v/>
      </c>
      <c r="K27" s="39">
        <f>IF(OR($B27="",INDEX('Utrekning'!$J$2:$J$41,'Utrekning'!$D$20)=0),"",CHOOSE(INDEX('Utrekning'!$J$2:$J$41,'Utrekning'!$D$20),"●","▲","■")&amp;IF(INDEX('Utrekning'!$AH$2:$AH$41,'Utrekning'!$D$20)&gt;1," "&amp;INDEX('Utrekning'!$AH$2:$AH$41,'Utrekning'!$D$20),"")&amp;IF($C$6="","",IF(INDEX('Utrekning'!$V$2:$V$41,'Utrekning'!$D$20)=0," ✱",IF(INDEX('Utrekning'!$J$2:$J$41,'Utrekning'!$D$20)&gt;INDEX('Utrekning'!$V$2:$V$41,'Utrekning'!$D$20)," ↑",IF(INDEX('Utrekning'!$J$2:$J$41,'Utrekning'!$D$20)&lt;INDEX('Utrekning'!$V$2:$V$41,'Utrekning'!$D$20)," ↓","")))))</f>
        <v/>
      </c>
      <c r="L27" s="39">
        <f>IF(OR($B27="",INDEX('Utrekning'!$K$2:$K$41,'Utrekning'!$D$20)=0),"",CHOOSE(INDEX('Utrekning'!$K$2:$K$41,'Utrekning'!$D$20),"●","▲","■")&amp;IF(INDEX('Utrekning'!$AI$2:$AI$41,'Utrekning'!$D$20)&gt;1," "&amp;INDEX('Utrekning'!$AI$2:$AI$41,'Utrekning'!$D$20),"")&amp;IF($C$6="","",IF(INDEX('Utrekning'!$W$2:$W$41,'Utrekning'!$D$20)=0," ✱",IF(INDEX('Utrekning'!$K$2:$K$41,'Utrekning'!$D$20)&gt;INDEX('Utrekning'!$W$2:$W$41,'Utrekning'!$D$20)," ↑",IF(INDEX('Utrekning'!$K$2:$K$41,'Utrekning'!$D$20)&lt;INDEX('Utrekning'!$W$2:$W$41,'Utrekning'!$D$20)," ↓","")))))</f>
        <v/>
      </c>
      <c r="M27" s="39">
        <f>IF(OR($B27="",INDEX('Utrekning'!$L$2:$L$41,'Utrekning'!$D$20)=0),"",CHOOSE(INDEX('Utrekning'!$L$2:$L$41,'Utrekning'!$D$20),"●","▲","■")&amp;IF(INDEX('Utrekning'!$AJ$2:$AJ$41,'Utrekning'!$D$20)&gt;1," "&amp;INDEX('Utrekning'!$AJ$2:$AJ$41,'Utrekning'!$D$20),"")&amp;IF($C$6="","",IF(INDEX('Utrekning'!$X$2:$X$41,'Utrekning'!$D$20)=0," ✱",IF(INDEX('Utrekning'!$L$2:$L$41,'Utrekning'!$D$20)&gt;INDEX('Utrekning'!$X$2:$X$41,'Utrekning'!$D$20)," ↑",IF(INDEX('Utrekning'!$L$2:$L$41,'Utrekning'!$D$20)&lt;INDEX('Utrekning'!$X$2:$X$41,'Utrekning'!$D$20)," ↓","")))))</f>
        <v/>
      </c>
      <c r="N27" s="39">
        <f>IF(OR($B27="",INDEX('Utrekning'!$M$2:$M$41,'Utrekning'!$D$20)=0),"",CHOOSE(INDEX('Utrekning'!$M$2:$M$41,'Utrekning'!$D$20),"●","▲","■")&amp;IF(INDEX('Utrekning'!$AK$2:$AK$41,'Utrekning'!$D$20)&gt;1," "&amp;INDEX('Utrekning'!$AK$2:$AK$41,'Utrekning'!$D$20),"")&amp;IF($C$6="","",IF(INDEX('Utrekning'!$Y$2:$Y$41,'Utrekning'!$D$20)=0," ✱",IF(INDEX('Utrekning'!$M$2:$M$41,'Utrekning'!$D$20)&gt;INDEX('Utrekning'!$Y$2:$Y$41,'Utrekning'!$D$20)," ↑",IF(INDEX('Utrekning'!$M$2:$M$41,'Utrekning'!$D$20)&lt;INDEX('Utrekning'!$Y$2:$Y$41,'Utrekning'!$D$20)," ↓","")))))</f>
        <v/>
      </c>
      <c r="O27" s="39">
        <f>IF(OR($B27="",INDEX('Utrekning'!$N$2:$N$41,'Utrekning'!$D$20)=0),"",CHOOSE(INDEX('Utrekning'!$N$2:$N$41,'Utrekning'!$D$20),"●","▲","■")&amp;IF(INDEX('Utrekning'!$AL$2:$AL$41,'Utrekning'!$D$20)&gt;1," "&amp;INDEX('Utrekning'!$AL$2:$AL$41,'Utrekning'!$D$20),"")&amp;IF($C$6="","",IF(INDEX('Utrekning'!$Z$2:$Z$41,'Utrekning'!$D$20)=0," ✱",IF(INDEX('Utrekning'!$N$2:$N$41,'Utrekning'!$D$20)&gt;INDEX('Utrekning'!$Z$2:$Z$41,'Utrekning'!$D$20)," ↑",IF(INDEX('Utrekning'!$N$2:$N$41,'Utrekning'!$D$20)&lt;INDEX('Utrekning'!$Z$2:$Z$41,'Utrekning'!$D$20)," ↓","")))))</f>
        <v/>
      </c>
      <c r="P27" s="39">
        <f>IF(OR($B27="",INDEX('Utrekning'!$O$2:$O$41,'Utrekning'!$D$20)=0),"",CHOOSE(INDEX('Utrekning'!$O$2:$O$41,'Utrekning'!$D$20),"●","▲","■")&amp;IF(INDEX('Utrekning'!$AM$2:$AM$41,'Utrekning'!$D$20)&gt;1," "&amp;INDEX('Utrekning'!$AM$2:$AM$41,'Utrekning'!$D$20),"")&amp;IF($C$6="","",IF(INDEX('Utrekning'!$AA$2:$AA$41,'Utrekning'!$D$20)=0," ✱",IF(INDEX('Utrekning'!$O$2:$O$41,'Utrekning'!$D$20)&gt;INDEX('Utrekning'!$AA$2:$AA$41,'Utrekning'!$D$20)," ↑",IF(INDEX('Utrekning'!$O$2:$O$41,'Utrekning'!$D$20)&lt;INDEX('Utrekning'!$AA$2:$AA$41,'Utrekning'!$D$20)," ↓","")))))</f>
        <v/>
      </c>
      <c r="Q27" s="39">
        <f>IF(OR($B27="",INDEX('Utrekning'!$P$2:$P$41,'Utrekning'!$D$20)=0),"",CHOOSE(INDEX('Utrekning'!$P$2:$P$41,'Utrekning'!$D$20),"●","▲","■")&amp;IF(INDEX('Utrekning'!$AN$2:$AN$41,'Utrekning'!$D$20)&gt;1," "&amp;INDEX('Utrekning'!$AN$2:$AN$41,'Utrekning'!$D$20),"")&amp;IF($C$6="","",IF(INDEX('Utrekning'!$AB$2:$AB$41,'Utrekning'!$D$20)=0," ✱",IF(INDEX('Utrekning'!$P$2:$P$41,'Utrekning'!$D$20)&gt;INDEX('Utrekning'!$AB$2:$AB$41,'Utrekning'!$D$20)," ↑",IF(INDEX('Utrekning'!$P$2:$P$41,'Utrekning'!$D$20)&lt;INDEX('Utrekning'!$AB$2:$AB$41,'Utrekning'!$D$20)," ↓","")))))</f>
        <v/>
      </c>
    </row>
    <row r="28" ht="22" customHeight="1">
      <c r="B28" s="37">
        <f>IFERROR(INDEX('Utrekning'!$B$2:$B$41,'Utrekning'!$D$21),"")</f>
        <v/>
      </c>
      <c r="C28" s="38">
        <f>IF($B28="","",COUNTIF(INDEX('Utrekning'!$E$2:$P$41,'Utrekning'!$D$21,0),3))</f>
        <v/>
      </c>
      <c r="D28" s="38">
        <f>IF($B28="","",COUNTIF(INDEX('Utrekning'!$E$2:$P$41,'Utrekning'!$D$21,0),2))</f>
        <v/>
      </c>
      <c r="E28" s="38">
        <f>IF($B28="","",COUNTIFS('Tiltak'!$B$2:$B$251,$C$5,'Tiltak'!$C$2:$C$251,$B28,'Tiltak'!$E$2:$E$251,"&lt;&gt;",'Tiltak'!$H$2:$H$251,"&lt;&gt;Avslutta",'Tiltak'!$H$2:$H$251,"&lt;&gt;Avsluttet"))</f>
        <v/>
      </c>
      <c r="F28" s="39">
        <f>IF(OR($B28="",INDEX('Utrekning'!$E$2:$E$41,'Utrekning'!$D$21)=0),"",CHOOSE(INDEX('Utrekning'!$E$2:$E$41,'Utrekning'!$D$21),"●","▲","■")&amp;IF(INDEX('Utrekning'!$AC$2:$AC$41,'Utrekning'!$D$21)&gt;1," "&amp;INDEX('Utrekning'!$AC$2:$AC$41,'Utrekning'!$D$21),"")&amp;IF($C$6="","",IF(INDEX('Utrekning'!$Q$2:$Q$41,'Utrekning'!$D$21)=0," ✱",IF(INDEX('Utrekning'!$E$2:$E$41,'Utrekning'!$D$21)&gt;INDEX('Utrekning'!$Q$2:$Q$41,'Utrekning'!$D$21)," ↑",IF(INDEX('Utrekning'!$E$2:$E$41,'Utrekning'!$D$21)&lt;INDEX('Utrekning'!$Q$2:$Q$41,'Utrekning'!$D$21)," ↓","")))))</f>
        <v/>
      </c>
      <c r="G28" s="39">
        <f>IF(OR($B28="",INDEX('Utrekning'!$F$2:$F$41,'Utrekning'!$D$21)=0),"",CHOOSE(INDEX('Utrekning'!$F$2:$F$41,'Utrekning'!$D$21),"●","▲","■")&amp;IF(INDEX('Utrekning'!$AD$2:$AD$41,'Utrekning'!$D$21)&gt;1," "&amp;INDEX('Utrekning'!$AD$2:$AD$41,'Utrekning'!$D$21),"")&amp;IF($C$6="","",IF(INDEX('Utrekning'!$R$2:$R$41,'Utrekning'!$D$21)=0," ✱",IF(INDEX('Utrekning'!$F$2:$F$41,'Utrekning'!$D$21)&gt;INDEX('Utrekning'!$R$2:$R$41,'Utrekning'!$D$21)," ↑",IF(INDEX('Utrekning'!$F$2:$F$41,'Utrekning'!$D$21)&lt;INDEX('Utrekning'!$R$2:$R$41,'Utrekning'!$D$21)," ↓","")))))</f>
        <v/>
      </c>
      <c r="H28" s="39">
        <f>IF(OR($B28="",INDEX('Utrekning'!$G$2:$G$41,'Utrekning'!$D$21)=0),"",CHOOSE(INDEX('Utrekning'!$G$2:$G$41,'Utrekning'!$D$21),"●","▲","■")&amp;IF(INDEX('Utrekning'!$AE$2:$AE$41,'Utrekning'!$D$21)&gt;1," "&amp;INDEX('Utrekning'!$AE$2:$AE$41,'Utrekning'!$D$21),"")&amp;IF($C$6="","",IF(INDEX('Utrekning'!$S$2:$S$41,'Utrekning'!$D$21)=0," ✱",IF(INDEX('Utrekning'!$G$2:$G$41,'Utrekning'!$D$21)&gt;INDEX('Utrekning'!$S$2:$S$41,'Utrekning'!$D$21)," ↑",IF(INDEX('Utrekning'!$G$2:$G$41,'Utrekning'!$D$21)&lt;INDEX('Utrekning'!$S$2:$S$41,'Utrekning'!$D$21)," ↓","")))))</f>
        <v/>
      </c>
      <c r="I28" s="39">
        <f>IF(OR($B28="",INDEX('Utrekning'!$H$2:$H$41,'Utrekning'!$D$21)=0),"",CHOOSE(INDEX('Utrekning'!$H$2:$H$41,'Utrekning'!$D$21),"●","▲","■")&amp;IF(INDEX('Utrekning'!$AF$2:$AF$41,'Utrekning'!$D$21)&gt;1," "&amp;INDEX('Utrekning'!$AF$2:$AF$41,'Utrekning'!$D$21),"")&amp;IF($C$6="","",IF(INDEX('Utrekning'!$T$2:$T$41,'Utrekning'!$D$21)=0," ✱",IF(INDEX('Utrekning'!$H$2:$H$41,'Utrekning'!$D$21)&gt;INDEX('Utrekning'!$T$2:$T$41,'Utrekning'!$D$21)," ↑",IF(INDEX('Utrekning'!$H$2:$H$41,'Utrekning'!$D$21)&lt;INDEX('Utrekning'!$T$2:$T$41,'Utrekning'!$D$21)," ↓","")))))</f>
        <v/>
      </c>
      <c r="J28" s="39">
        <f>IF(OR($B28="",INDEX('Utrekning'!$I$2:$I$41,'Utrekning'!$D$21)=0),"",CHOOSE(INDEX('Utrekning'!$I$2:$I$41,'Utrekning'!$D$21),"●","▲","■")&amp;IF(INDEX('Utrekning'!$AG$2:$AG$41,'Utrekning'!$D$21)&gt;1," "&amp;INDEX('Utrekning'!$AG$2:$AG$41,'Utrekning'!$D$21),"")&amp;IF($C$6="","",IF(INDEX('Utrekning'!$U$2:$U$41,'Utrekning'!$D$21)=0," ✱",IF(INDEX('Utrekning'!$I$2:$I$41,'Utrekning'!$D$21)&gt;INDEX('Utrekning'!$U$2:$U$41,'Utrekning'!$D$21)," ↑",IF(INDEX('Utrekning'!$I$2:$I$41,'Utrekning'!$D$21)&lt;INDEX('Utrekning'!$U$2:$U$41,'Utrekning'!$D$21)," ↓","")))))</f>
        <v/>
      </c>
      <c r="K28" s="39">
        <f>IF(OR($B28="",INDEX('Utrekning'!$J$2:$J$41,'Utrekning'!$D$21)=0),"",CHOOSE(INDEX('Utrekning'!$J$2:$J$41,'Utrekning'!$D$21),"●","▲","■")&amp;IF(INDEX('Utrekning'!$AH$2:$AH$41,'Utrekning'!$D$21)&gt;1," "&amp;INDEX('Utrekning'!$AH$2:$AH$41,'Utrekning'!$D$21),"")&amp;IF($C$6="","",IF(INDEX('Utrekning'!$V$2:$V$41,'Utrekning'!$D$21)=0," ✱",IF(INDEX('Utrekning'!$J$2:$J$41,'Utrekning'!$D$21)&gt;INDEX('Utrekning'!$V$2:$V$41,'Utrekning'!$D$21)," ↑",IF(INDEX('Utrekning'!$J$2:$J$41,'Utrekning'!$D$21)&lt;INDEX('Utrekning'!$V$2:$V$41,'Utrekning'!$D$21)," ↓","")))))</f>
        <v/>
      </c>
      <c r="L28" s="39">
        <f>IF(OR($B28="",INDEX('Utrekning'!$K$2:$K$41,'Utrekning'!$D$21)=0),"",CHOOSE(INDEX('Utrekning'!$K$2:$K$41,'Utrekning'!$D$21),"●","▲","■")&amp;IF(INDEX('Utrekning'!$AI$2:$AI$41,'Utrekning'!$D$21)&gt;1," "&amp;INDEX('Utrekning'!$AI$2:$AI$41,'Utrekning'!$D$21),"")&amp;IF($C$6="","",IF(INDEX('Utrekning'!$W$2:$W$41,'Utrekning'!$D$21)=0," ✱",IF(INDEX('Utrekning'!$K$2:$K$41,'Utrekning'!$D$21)&gt;INDEX('Utrekning'!$W$2:$W$41,'Utrekning'!$D$21)," ↑",IF(INDEX('Utrekning'!$K$2:$K$41,'Utrekning'!$D$21)&lt;INDEX('Utrekning'!$W$2:$W$41,'Utrekning'!$D$21)," ↓","")))))</f>
        <v/>
      </c>
      <c r="M28" s="39">
        <f>IF(OR($B28="",INDEX('Utrekning'!$L$2:$L$41,'Utrekning'!$D$21)=0),"",CHOOSE(INDEX('Utrekning'!$L$2:$L$41,'Utrekning'!$D$21),"●","▲","■")&amp;IF(INDEX('Utrekning'!$AJ$2:$AJ$41,'Utrekning'!$D$21)&gt;1," "&amp;INDEX('Utrekning'!$AJ$2:$AJ$41,'Utrekning'!$D$21),"")&amp;IF($C$6="","",IF(INDEX('Utrekning'!$X$2:$X$41,'Utrekning'!$D$21)=0," ✱",IF(INDEX('Utrekning'!$L$2:$L$41,'Utrekning'!$D$21)&gt;INDEX('Utrekning'!$X$2:$X$41,'Utrekning'!$D$21)," ↑",IF(INDEX('Utrekning'!$L$2:$L$41,'Utrekning'!$D$21)&lt;INDEX('Utrekning'!$X$2:$X$41,'Utrekning'!$D$21)," ↓","")))))</f>
        <v/>
      </c>
      <c r="N28" s="39">
        <f>IF(OR($B28="",INDEX('Utrekning'!$M$2:$M$41,'Utrekning'!$D$21)=0),"",CHOOSE(INDEX('Utrekning'!$M$2:$M$41,'Utrekning'!$D$21),"●","▲","■")&amp;IF(INDEX('Utrekning'!$AK$2:$AK$41,'Utrekning'!$D$21)&gt;1," "&amp;INDEX('Utrekning'!$AK$2:$AK$41,'Utrekning'!$D$21),"")&amp;IF($C$6="","",IF(INDEX('Utrekning'!$Y$2:$Y$41,'Utrekning'!$D$21)=0," ✱",IF(INDEX('Utrekning'!$M$2:$M$41,'Utrekning'!$D$21)&gt;INDEX('Utrekning'!$Y$2:$Y$41,'Utrekning'!$D$21)," ↑",IF(INDEX('Utrekning'!$M$2:$M$41,'Utrekning'!$D$21)&lt;INDEX('Utrekning'!$Y$2:$Y$41,'Utrekning'!$D$21)," ↓","")))))</f>
        <v/>
      </c>
      <c r="O28" s="39">
        <f>IF(OR($B28="",INDEX('Utrekning'!$N$2:$N$41,'Utrekning'!$D$21)=0),"",CHOOSE(INDEX('Utrekning'!$N$2:$N$41,'Utrekning'!$D$21),"●","▲","■")&amp;IF(INDEX('Utrekning'!$AL$2:$AL$41,'Utrekning'!$D$21)&gt;1," "&amp;INDEX('Utrekning'!$AL$2:$AL$41,'Utrekning'!$D$21),"")&amp;IF($C$6="","",IF(INDEX('Utrekning'!$Z$2:$Z$41,'Utrekning'!$D$21)=0," ✱",IF(INDEX('Utrekning'!$N$2:$N$41,'Utrekning'!$D$21)&gt;INDEX('Utrekning'!$Z$2:$Z$41,'Utrekning'!$D$21)," ↑",IF(INDEX('Utrekning'!$N$2:$N$41,'Utrekning'!$D$21)&lt;INDEX('Utrekning'!$Z$2:$Z$41,'Utrekning'!$D$21)," ↓","")))))</f>
        <v/>
      </c>
      <c r="P28" s="39">
        <f>IF(OR($B28="",INDEX('Utrekning'!$O$2:$O$41,'Utrekning'!$D$21)=0),"",CHOOSE(INDEX('Utrekning'!$O$2:$O$41,'Utrekning'!$D$21),"●","▲","■")&amp;IF(INDEX('Utrekning'!$AM$2:$AM$41,'Utrekning'!$D$21)&gt;1," "&amp;INDEX('Utrekning'!$AM$2:$AM$41,'Utrekning'!$D$21),"")&amp;IF($C$6="","",IF(INDEX('Utrekning'!$AA$2:$AA$41,'Utrekning'!$D$21)=0," ✱",IF(INDEX('Utrekning'!$O$2:$O$41,'Utrekning'!$D$21)&gt;INDEX('Utrekning'!$AA$2:$AA$41,'Utrekning'!$D$21)," ↑",IF(INDEX('Utrekning'!$O$2:$O$41,'Utrekning'!$D$21)&lt;INDEX('Utrekning'!$AA$2:$AA$41,'Utrekning'!$D$21)," ↓","")))))</f>
        <v/>
      </c>
      <c r="Q28" s="39">
        <f>IF(OR($B28="",INDEX('Utrekning'!$P$2:$P$41,'Utrekning'!$D$21)=0),"",CHOOSE(INDEX('Utrekning'!$P$2:$P$41,'Utrekning'!$D$21),"●","▲","■")&amp;IF(INDEX('Utrekning'!$AN$2:$AN$41,'Utrekning'!$D$21)&gt;1," "&amp;INDEX('Utrekning'!$AN$2:$AN$41,'Utrekning'!$D$21),"")&amp;IF($C$6="","",IF(INDEX('Utrekning'!$AB$2:$AB$41,'Utrekning'!$D$21)=0," ✱",IF(INDEX('Utrekning'!$P$2:$P$41,'Utrekning'!$D$21)&gt;INDEX('Utrekning'!$AB$2:$AB$41,'Utrekning'!$D$21)," ↑",IF(INDEX('Utrekning'!$P$2:$P$41,'Utrekning'!$D$21)&lt;INDEX('Utrekning'!$AB$2:$AB$41,'Utrekning'!$D$21)," ↓","")))))</f>
        <v/>
      </c>
    </row>
    <row r="29" ht="22" customHeight="1">
      <c r="B29" s="37">
        <f>IFERROR(INDEX('Utrekning'!$B$2:$B$41,'Utrekning'!$D$22),"")</f>
        <v/>
      </c>
      <c r="C29" s="38">
        <f>IF($B29="","",COUNTIF(INDEX('Utrekning'!$E$2:$P$41,'Utrekning'!$D$22,0),3))</f>
        <v/>
      </c>
      <c r="D29" s="38">
        <f>IF($B29="","",COUNTIF(INDEX('Utrekning'!$E$2:$P$41,'Utrekning'!$D$22,0),2))</f>
        <v/>
      </c>
      <c r="E29" s="38">
        <f>IF($B29="","",COUNTIFS('Tiltak'!$B$2:$B$251,$C$5,'Tiltak'!$C$2:$C$251,$B29,'Tiltak'!$E$2:$E$251,"&lt;&gt;",'Tiltak'!$H$2:$H$251,"&lt;&gt;Avslutta",'Tiltak'!$H$2:$H$251,"&lt;&gt;Avsluttet"))</f>
        <v/>
      </c>
      <c r="F29" s="39">
        <f>IF(OR($B29="",INDEX('Utrekning'!$E$2:$E$41,'Utrekning'!$D$22)=0),"",CHOOSE(INDEX('Utrekning'!$E$2:$E$41,'Utrekning'!$D$22),"●","▲","■")&amp;IF(INDEX('Utrekning'!$AC$2:$AC$41,'Utrekning'!$D$22)&gt;1," "&amp;INDEX('Utrekning'!$AC$2:$AC$41,'Utrekning'!$D$22),"")&amp;IF($C$6="","",IF(INDEX('Utrekning'!$Q$2:$Q$41,'Utrekning'!$D$22)=0," ✱",IF(INDEX('Utrekning'!$E$2:$E$41,'Utrekning'!$D$22)&gt;INDEX('Utrekning'!$Q$2:$Q$41,'Utrekning'!$D$22)," ↑",IF(INDEX('Utrekning'!$E$2:$E$41,'Utrekning'!$D$22)&lt;INDEX('Utrekning'!$Q$2:$Q$41,'Utrekning'!$D$22)," ↓","")))))</f>
        <v/>
      </c>
      <c r="G29" s="39">
        <f>IF(OR($B29="",INDEX('Utrekning'!$F$2:$F$41,'Utrekning'!$D$22)=0),"",CHOOSE(INDEX('Utrekning'!$F$2:$F$41,'Utrekning'!$D$22),"●","▲","■")&amp;IF(INDEX('Utrekning'!$AD$2:$AD$41,'Utrekning'!$D$22)&gt;1," "&amp;INDEX('Utrekning'!$AD$2:$AD$41,'Utrekning'!$D$22),"")&amp;IF($C$6="","",IF(INDEX('Utrekning'!$R$2:$R$41,'Utrekning'!$D$22)=0," ✱",IF(INDEX('Utrekning'!$F$2:$F$41,'Utrekning'!$D$22)&gt;INDEX('Utrekning'!$R$2:$R$41,'Utrekning'!$D$22)," ↑",IF(INDEX('Utrekning'!$F$2:$F$41,'Utrekning'!$D$22)&lt;INDEX('Utrekning'!$R$2:$R$41,'Utrekning'!$D$22)," ↓","")))))</f>
        <v/>
      </c>
      <c r="H29" s="39">
        <f>IF(OR($B29="",INDEX('Utrekning'!$G$2:$G$41,'Utrekning'!$D$22)=0),"",CHOOSE(INDEX('Utrekning'!$G$2:$G$41,'Utrekning'!$D$22),"●","▲","■")&amp;IF(INDEX('Utrekning'!$AE$2:$AE$41,'Utrekning'!$D$22)&gt;1," "&amp;INDEX('Utrekning'!$AE$2:$AE$41,'Utrekning'!$D$22),"")&amp;IF($C$6="","",IF(INDEX('Utrekning'!$S$2:$S$41,'Utrekning'!$D$22)=0," ✱",IF(INDEX('Utrekning'!$G$2:$G$41,'Utrekning'!$D$22)&gt;INDEX('Utrekning'!$S$2:$S$41,'Utrekning'!$D$22)," ↑",IF(INDEX('Utrekning'!$G$2:$G$41,'Utrekning'!$D$22)&lt;INDEX('Utrekning'!$S$2:$S$41,'Utrekning'!$D$22)," ↓","")))))</f>
        <v/>
      </c>
      <c r="I29" s="39">
        <f>IF(OR($B29="",INDEX('Utrekning'!$H$2:$H$41,'Utrekning'!$D$22)=0),"",CHOOSE(INDEX('Utrekning'!$H$2:$H$41,'Utrekning'!$D$22),"●","▲","■")&amp;IF(INDEX('Utrekning'!$AF$2:$AF$41,'Utrekning'!$D$22)&gt;1," "&amp;INDEX('Utrekning'!$AF$2:$AF$41,'Utrekning'!$D$22),"")&amp;IF($C$6="","",IF(INDEX('Utrekning'!$T$2:$T$41,'Utrekning'!$D$22)=0," ✱",IF(INDEX('Utrekning'!$H$2:$H$41,'Utrekning'!$D$22)&gt;INDEX('Utrekning'!$T$2:$T$41,'Utrekning'!$D$22)," ↑",IF(INDEX('Utrekning'!$H$2:$H$41,'Utrekning'!$D$22)&lt;INDEX('Utrekning'!$T$2:$T$41,'Utrekning'!$D$22)," ↓","")))))</f>
        <v/>
      </c>
      <c r="J29" s="39">
        <f>IF(OR($B29="",INDEX('Utrekning'!$I$2:$I$41,'Utrekning'!$D$22)=0),"",CHOOSE(INDEX('Utrekning'!$I$2:$I$41,'Utrekning'!$D$22),"●","▲","■")&amp;IF(INDEX('Utrekning'!$AG$2:$AG$41,'Utrekning'!$D$22)&gt;1," "&amp;INDEX('Utrekning'!$AG$2:$AG$41,'Utrekning'!$D$22),"")&amp;IF($C$6="","",IF(INDEX('Utrekning'!$U$2:$U$41,'Utrekning'!$D$22)=0," ✱",IF(INDEX('Utrekning'!$I$2:$I$41,'Utrekning'!$D$22)&gt;INDEX('Utrekning'!$U$2:$U$41,'Utrekning'!$D$22)," ↑",IF(INDEX('Utrekning'!$I$2:$I$41,'Utrekning'!$D$22)&lt;INDEX('Utrekning'!$U$2:$U$41,'Utrekning'!$D$22)," ↓","")))))</f>
        <v/>
      </c>
      <c r="K29" s="39">
        <f>IF(OR($B29="",INDEX('Utrekning'!$J$2:$J$41,'Utrekning'!$D$22)=0),"",CHOOSE(INDEX('Utrekning'!$J$2:$J$41,'Utrekning'!$D$22),"●","▲","■")&amp;IF(INDEX('Utrekning'!$AH$2:$AH$41,'Utrekning'!$D$22)&gt;1," "&amp;INDEX('Utrekning'!$AH$2:$AH$41,'Utrekning'!$D$22),"")&amp;IF($C$6="","",IF(INDEX('Utrekning'!$V$2:$V$41,'Utrekning'!$D$22)=0," ✱",IF(INDEX('Utrekning'!$J$2:$J$41,'Utrekning'!$D$22)&gt;INDEX('Utrekning'!$V$2:$V$41,'Utrekning'!$D$22)," ↑",IF(INDEX('Utrekning'!$J$2:$J$41,'Utrekning'!$D$22)&lt;INDEX('Utrekning'!$V$2:$V$41,'Utrekning'!$D$22)," ↓","")))))</f>
        <v/>
      </c>
      <c r="L29" s="39">
        <f>IF(OR($B29="",INDEX('Utrekning'!$K$2:$K$41,'Utrekning'!$D$22)=0),"",CHOOSE(INDEX('Utrekning'!$K$2:$K$41,'Utrekning'!$D$22),"●","▲","■")&amp;IF(INDEX('Utrekning'!$AI$2:$AI$41,'Utrekning'!$D$22)&gt;1," "&amp;INDEX('Utrekning'!$AI$2:$AI$41,'Utrekning'!$D$22),"")&amp;IF($C$6="","",IF(INDEX('Utrekning'!$W$2:$W$41,'Utrekning'!$D$22)=0," ✱",IF(INDEX('Utrekning'!$K$2:$K$41,'Utrekning'!$D$22)&gt;INDEX('Utrekning'!$W$2:$W$41,'Utrekning'!$D$22)," ↑",IF(INDEX('Utrekning'!$K$2:$K$41,'Utrekning'!$D$22)&lt;INDEX('Utrekning'!$W$2:$W$41,'Utrekning'!$D$22)," ↓","")))))</f>
        <v/>
      </c>
      <c r="M29" s="39">
        <f>IF(OR($B29="",INDEX('Utrekning'!$L$2:$L$41,'Utrekning'!$D$22)=0),"",CHOOSE(INDEX('Utrekning'!$L$2:$L$41,'Utrekning'!$D$22),"●","▲","■")&amp;IF(INDEX('Utrekning'!$AJ$2:$AJ$41,'Utrekning'!$D$22)&gt;1," "&amp;INDEX('Utrekning'!$AJ$2:$AJ$41,'Utrekning'!$D$22),"")&amp;IF($C$6="","",IF(INDEX('Utrekning'!$X$2:$X$41,'Utrekning'!$D$22)=0," ✱",IF(INDEX('Utrekning'!$L$2:$L$41,'Utrekning'!$D$22)&gt;INDEX('Utrekning'!$X$2:$X$41,'Utrekning'!$D$22)," ↑",IF(INDEX('Utrekning'!$L$2:$L$41,'Utrekning'!$D$22)&lt;INDEX('Utrekning'!$X$2:$X$41,'Utrekning'!$D$22)," ↓","")))))</f>
        <v/>
      </c>
      <c r="N29" s="39">
        <f>IF(OR($B29="",INDEX('Utrekning'!$M$2:$M$41,'Utrekning'!$D$22)=0),"",CHOOSE(INDEX('Utrekning'!$M$2:$M$41,'Utrekning'!$D$22),"●","▲","■")&amp;IF(INDEX('Utrekning'!$AK$2:$AK$41,'Utrekning'!$D$22)&gt;1," "&amp;INDEX('Utrekning'!$AK$2:$AK$41,'Utrekning'!$D$22),"")&amp;IF($C$6="","",IF(INDEX('Utrekning'!$Y$2:$Y$41,'Utrekning'!$D$22)=0," ✱",IF(INDEX('Utrekning'!$M$2:$M$41,'Utrekning'!$D$22)&gt;INDEX('Utrekning'!$Y$2:$Y$41,'Utrekning'!$D$22)," ↑",IF(INDEX('Utrekning'!$M$2:$M$41,'Utrekning'!$D$22)&lt;INDEX('Utrekning'!$Y$2:$Y$41,'Utrekning'!$D$22)," ↓","")))))</f>
        <v/>
      </c>
      <c r="O29" s="39">
        <f>IF(OR($B29="",INDEX('Utrekning'!$N$2:$N$41,'Utrekning'!$D$22)=0),"",CHOOSE(INDEX('Utrekning'!$N$2:$N$41,'Utrekning'!$D$22),"●","▲","■")&amp;IF(INDEX('Utrekning'!$AL$2:$AL$41,'Utrekning'!$D$22)&gt;1," "&amp;INDEX('Utrekning'!$AL$2:$AL$41,'Utrekning'!$D$22),"")&amp;IF($C$6="","",IF(INDEX('Utrekning'!$Z$2:$Z$41,'Utrekning'!$D$22)=0," ✱",IF(INDEX('Utrekning'!$N$2:$N$41,'Utrekning'!$D$22)&gt;INDEX('Utrekning'!$Z$2:$Z$41,'Utrekning'!$D$22)," ↑",IF(INDEX('Utrekning'!$N$2:$N$41,'Utrekning'!$D$22)&lt;INDEX('Utrekning'!$Z$2:$Z$41,'Utrekning'!$D$22)," ↓","")))))</f>
        <v/>
      </c>
      <c r="P29" s="39">
        <f>IF(OR($B29="",INDEX('Utrekning'!$O$2:$O$41,'Utrekning'!$D$22)=0),"",CHOOSE(INDEX('Utrekning'!$O$2:$O$41,'Utrekning'!$D$22),"●","▲","■")&amp;IF(INDEX('Utrekning'!$AM$2:$AM$41,'Utrekning'!$D$22)&gt;1," "&amp;INDEX('Utrekning'!$AM$2:$AM$41,'Utrekning'!$D$22),"")&amp;IF($C$6="","",IF(INDEX('Utrekning'!$AA$2:$AA$41,'Utrekning'!$D$22)=0," ✱",IF(INDEX('Utrekning'!$O$2:$O$41,'Utrekning'!$D$22)&gt;INDEX('Utrekning'!$AA$2:$AA$41,'Utrekning'!$D$22)," ↑",IF(INDEX('Utrekning'!$O$2:$O$41,'Utrekning'!$D$22)&lt;INDEX('Utrekning'!$AA$2:$AA$41,'Utrekning'!$D$22)," ↓","")))))</f>
        <v/>
      </c>
      <c r="Q29" s="39">
        <f>IF(OR($B29="",INDEX('Utrekning'!$P$2:$P$41,'Utrekning'!$D$22)=0),"",CHOOSE(INDEX('Utrekning'!$P$2:$P$41,'Utrekning'!$D$22),"●","▲","■")&amp;IF(INDEX('Utrekning'!$AN$2:$AN$41,'Utrekning'!$D$22)&gt;1," "&amp;INDEX('Utrekning'!$AN$2:$AN$41,'Utrekning'!$D$22),"")&amp;IF($C$6="","",IF(INDEX('Utrekning'!$AB$2:$AB$41,'Utrekning'!$D$22)=0," ✱",IF(INDEX('Utrekning'!$P$2:$P$41,'Utrekning'!$D$22)&gt;INDEX('Utrekning'!$AB$2:$AB$41,'Utrekning'!$D$22)," ↑",IF(INDEX('Utrekning'!$P$2:$P$41,'Utrekning'!$D$22)&lt;INDEX('Utrekning'!$AB$2:$AB$41,'Utrekning'!$D$22)," ↓","")))))</f>
        <v/>
      </c>
    </row>
    <row r="30" ht="22" customHeight="1">
      <c r="B30" s="37">
        <f>IFERROR(INDEX('Utrekning'!$B$2:$B$41,'Utrekning'!$D$23),"")</f>
        <v/>
      </c>
      <c r="C30" s="38">
        <f>IF($B30="","",COUNTIF(INDEX('Utrekning'!$E$2:$P$41,'Utrekning'!$D$23,0),3))</f>
        <v/>
      </c>
      <c r="D30" s="38">
        <f>IF($B30="","",COUNTIF(INDEX('Utrekning'!$E$2:$P$41,'Utrekning'!$D$23,0),2))</f>
        <v/>
      </c>
      <c r="E30" s="38">
        <f>IF($B30="","",COUNTIFS('Tiltak'!$B$2:$B$251,$C$5,'Tiltak'!$C$2:$C$251,$B30,'Tiltak'!$E$2:$E$251,"&lt;&gt;",'Tiltak'!$H$2:$H$251,"&lt;&gt;Avslutta",'Tiltak'!$H$2:$H$251,"&lt;&gt;Avsluttet"))</f>
        <v/>
      </c>
      <c r="F30" s="39">
        <f>IF(OR($B30="",INDEX('Utrekning'!$E$2:$E$41,'Utrekning'!$D$23)=0),"",CHOOSE(INDEX('Utrekning'!$E$2:$E$41,'Utrekning'!$D$23),"●","▲","■")&amp;IF(INDEX('Utrekning'!$AC$2:$AC$41,'Utrekning'!$D$23)&gt;1," "&amp;INDEX('Utrekning'!$AC$2:$AC$41,'Utrekning'!$D$23),"")&amp;IF($C$6="","",IF(INDEX('Utrekning'!$Q$2:$Q$41,'Utrekning'!$D$23)=0," ✱",IF(INDEX('Utrekning'!$E$2:$E$41,'Utrekning'!$D$23)&gt;INDEX('Utrekning'!$Q$2:$Q$41,'Utrekning'!$D$23)," ↑",IF(INDEX('Utrekning'!$E$2:$E$41,'Utrekning'!$D$23)&lt;INDEX('Utrekning'!$Q$2:$Q$41,'Utrekning'!$D$23)," ↓","")))))</f>
        <v/>
      </c>
      <c r="G30" s="39">
        <f>IF(OR($B30="",INDEX('Utrekning'!$F$2:$F$41,'Utrekning'!$D$23)=0),"",CHOOSE(INDEX('Utrekning'!$F$2:$F$41,'Utrekning'!$D$23),"●","▲","■")&amp;IF(INDEX('Utrekning'!$AD$2:$AD$41,'Utrekning'!$D$23)&gt;1," "&amp;INDEX('Utrekning'!$AD$2:$AD$41,'Utrekning'!$D$23),"")&amp;IF($C$6="","",IF(INDEX('Utrekning'!$R$2:$R$41,'Utrekning'!$D$23)=0," ✱",IF(INDEX('Utrekning'!$F$2:$F$41,'Utrekning'!$D$23)&gt;INDEX('Utrekning'!$R$2:$R$41,'Utrekning'!$D$23)," ↑",IF(INDEX('Utrekning'!$F$2:$F$41,'Utrekning'!$D$23)&lt;INDEX('Utrekning'!$R$2:$R$41,'Utrekning'!$D$23)," ↓","")))))</f>
        <v/>
      </c>
      <c r="H30" s="39">
        <f>IF(OR($B30="",INDEX('Utrekning'!$G$2:$G$41,'Utrekning'!$D$23)=0),"",CHOOSE(INDEX('Utrekning'!$G$2:$G$41,'Utrekning'!$D$23),"●","▲","■")&amp;IF(INDEX('Utrekning'!$AE$2:$AE$41,'Utrekning'!$D$23)&gt;1," "&amp;INDEX('Utrekning'!$AE$2:$AE$41,'Utrekning'!$D$23),"")&amp;IF($C$6="","",IF(INDEX('Utrekning'!$S$2:$S$41,'Utrekning'!$D$23)=0," ✱",IF(INDEX('Utrekning'!$G$2:$G$41,'Utrekning'!$D$23)&gt;INDEX('Utrekning'!$S$2:$S$41,'Utrekning'!$D$23)," ↑",IF(INDEX('Utrekning'!$G$2:$G$41,'Utrekning'!$D$23)&lt;INDEX('Utrekning'!$S$2:$S$41,'Utrekning'!$D$23)," ↓","")))))</f>
        <v/>
      </c>
      <c r="I30" s="39">
        <f>IF(OR($B30="",INDEX('Utrekning'!$H$2:$H$41,'Utrekning'!$D$23)=0),"",CHOOSE(INDEX('Utrekning'!$H$2:$H$41,'Utrekning'!$D$23),"●","▲","■")&amp;IF(INDEX('Utrekning'!$AF$2:$AF$41,'Utrekning'!$D$23)&gt;1," "&amp;INDEX('Utrekning'!$AF$2:$AF$41,'Utrekning'!$D$23),"")&amp;IF($C$6="","",IF(INDEX('Utrekning'!$T$2:$T$41,'Utrekning'!$D$23)=0," ✱",IF(INDEX('Utrekning'!$H$2:$H$41,'Utrekning'!$D$23)&gt;INDEX('Utrekning'!$T$2:$T$41,'Utrekning'!$D$23)," ↑",IF(INDEX('Utrekning'!$H$2:$H$41,'Utrekning'!$D$23)&lt;INDEX('Utrekning'!$T$2:$T$41,'Utrekning'!$D$23)," ↓","")))))</f>
        <v/>
      </c>
      <c r="J30" s="39">
        <f>IF(OR($B30="",INDEX('Utrekning'!$I$2:$I$41,'Utrekning'!$D$23)=0),"",CHOOSE(INDEX('Utrekning'!$I$2:$I$41,'Utrekning'!$D$23),"●","▲","■")&amp;IF(INDEX('Utrekning'!$AG$2:$AG$41,'Utrekning'!$D$23)&gt;1," "&amp;INDEX('Utrekning'!$AG$2:$AG$41,'Utrekning'!$D$23),"")&amp;IF($C$6="","",IF(INDEX('Utrekning'!$U$2:$U$41,'Utrekning'!$D$23)=0," ✱",IF(INDEX('Utrekning'!$I$2:$I$41,'Utrekning'!$D$23)&gt;INDEX('Utrekning'!$U$2:$U$41,'Utrekning'!$D$23)," ↑",IF(INDEX('Utrekning'!$I$2:$I$41,'Utrekning'!$D$23)&lt;INDEX('Utrekning'!$U$2:$U$41,'Utrekning'!$D$23)," ↓","")))))</f>
        <v/>
      </c>
      <c r="K30" s="39">
        <f>IF(OR($B30="",INDEX('Utrekning'!$J$2:$J$41,'Utrekning'!$D$23)=0),"",CHOOSE(INDEX('Utrekning'!$J$2:$J$41,'Utrekning'!$D$23),"●","▲","■")&amp;IF(INDEX('Utrekning'!$AH$2:$AH$41,'Utrekning'!$D$23)&gt;1," "&amp;INDEX('Utrekning'!$AH$2:$AH$41,'Utrekning'!$D$23),"")&amp;IF($C$6="","",IF(INDEX('Utrekning'!$V$2:$V$41,'Utrekning'!$D$23)=0," ✱",IF(INDEX('Utrekning'!$J$2:$J$41,'Utrekning'!$D$23)&gt;INDEX('Utrekning'!$V$2:$V$41,'Utrekning'!$D$23)," ↑",IF(INDEX('Utrekning'!$J$2:$J$41,'Utrekning'!$D$23)&lt;INDEX('Utrekning'!$V$2:$V$41,'Utrekning'!$D$23)," ↓","")))))</f>
        <v/>
      </c>
      <c r="L30" s="39">
        <f>IF(OR($B30="",INDEX('Utrekning'!$K$2:$K$41,'Utrekning'!$D$23)=0),"",CHOOSE(INDEX('Utrekning'!$K$2:$K$41,'Utrekning'!$D$23),"●","▲","■")&amp;IF(INDEX('Utrekning'!$AI$2:$AI$41,'Utrekning'!$D$23)&gt;1," "&amp;INDEX('Utrekning'!$AI$2:$AI$41,'Utrekning'!$D$23),"")&amp;IF($C$6="","",IF(INDEX('Utrekning'!$W$2:$W$41,'Utrekning'!$D$23)=0," ✱",IF(INDEX('Utrekning'!$K$2:$K$41,'Utrekning'!$D$23)&gt;INDEX('Utrekning'!$W$2:$W$41,'Utrekning'!$D$23)," ↑",IF(INDEX('Utrekning'!$K$2:$K$41,'Utrekning'!$D$23)&lt;INDEX('Utrekning'!$W$2:$W$41,'Utrekning'!$D$23)," ↓","")))))</f>
        <v/>
      </c>
      <c r="M30" s="39">
        <f>IF(OR($B30="",INDEX('Utrekning'!$L$2:$L$41,'Utrekning'!$D$23)=0),"",CHOOSE(INDEX('Utrekning'!$L$2:$L$41,'Utrekning'!$D$23),"●","▲","■")&amp;IF(INDEX('Utrekning'!$AJ$2:$AJ$41,'Utrekning'!$D$23)&gt;1," "&amp;INDEX('Utrekning'!$AJ$2:$AJ$41,'Utrekning'!$D$23),"")&amp;IF($C$6="","",IF(INDEX('Utrekning'!$X$2:$X$41,'Utrekning'!$D$23)=0," ✱",IF(INDEX('Utrekning'!$L$2:$L$41,'Utrekning'!$D$23)&gt;INDEX('Utrekning'!$X$2:$X$41,'Utrekning'!$D$23)," ↑",IF(INDEX('Utrekning'!$L$2:$L$41,'Utrekning'!$D$23)&lt;INDEX('Utrekning'!$X$2:$X$41,'Utrekning'!$D$23)," ↓","")))))</f>
        <v/>
      </c>
      <c r="N30" s="39">
        <f>IF(OR($B30="",INDEX('Utrekning'!$M$2:$M$41,'Utrekning'!$D$23)=0),"",CHOOSE(INDEX('Utrekning'!$M$2:$M$41,'Utrekning'!$D$23),"●","▲","■")&amp;IF(INDEX('Utrekning'!$AK$2:$AK$41,'Utrekning'!$D$23)&gt;1," "&amp;INDEX('Utrekning'!$AK$2:$AK$41,'Utrekning'!$D$23),"")&amp;IF($C$6="","",IF(INDEX('Utrekning'!$Y$2:$Y$41,'Utrekning'!$D$23)=0," ✱",IF(INDEX('Utrekning'!$M$2:$M$41,'Utrekning'!$D$23)&gt;INDEX('Utrekning'!$Y$2:$Y$41,'Utrekning'!$D$23)," ↑",IF(INDEX('Utrekning'!$M$2:$M$41,'Utrekning'!$D$23)&lt;INDEX('Utrekning'!$Y$2:$Y$41,'Utrekning'!$D$23)," ↓","")))))</f>
        <v/>
      </c>
      <c r="O30" s="39">
        <f>IF(OR($B30="",INDEX('Utrekning'!$N$2:$N$41,'Utrekning'!$D$23)=0),"",CHOOSE(INDEX('Utrekning'!$N$2:$N$41,'Utrekning'!$D$23),"●","▲","■")&amp;IF(INDEX('Utrekning'!$AL$2:$AL$41,'Utrekning'!$D$23)&gt;1," "&amp;INDEX('Utrekning'!$AL$2:$AL$41,'Utrekning'!$D$23),"")&amp;IF($C$6="","",IF(INDEX('Utrekning'!$Z$2:$Z$41,'Utrekning'!$D$23)=0," ✱",IF(INDEX('Utrekning'!$N$2:$N$41,'Utrekning'!$D$23)&gt;INDEX('Utrekning'!$Z$2:$Z$41,'Utrekning'!$D$23)," ↑",IF(INDEX('Utrekning'!$N$2:$N$41,'Utrekning'!$D$23)&lt;INDEX('Utrekning'!$Z$2:$Z$41,'Utrekning'!$D$23)," ↓","")))))</f>
        <v/>
      </c>
      <c r="P30" s="39">
        <f>IF(OR($B30="",INDEX('Utrekning'!$O$2:$O$41,'Utrekning'!$D$23)=0),"",CHOOSE(INDEX('Utrekning'!$O$2:$O$41,'Utrekning'!$D$23),"●","▲","■")&amp;IF(INDEX('Utrekning'!$AM$2:$AM$41,'Utrekning'!$D$23)&gt;1," "&amp;INDEX('Utrekning'!$AM$2:$AM$41,'Utrekning'!$D$23),"")&amp;IF($C$6="","",IF(INDEX('Utrekning'!$AA$2:$AA$41,'Utrekning'!$D$23)=0," ✱",IF(INDEX('Utrekning'!$O$2:$O$41,'Utrekning'!$D$23)&gt;INDEX('Utrekning'!$AA$2:$AA$41,'Utrekning'!$D$23)," ↑",IF(INDEX('Utrekning'!$O$2:$O$41,'Utrekning'!$D$23)&lt;INDEX('Utrekning'!$AA$2:$AA$41,'Utrekning'!$D$23)," ↓","")))))</f>
        <v/>
      </c>
      <c r="Q30" s="39">
        <f>IF(OR($B30="",INDEX('Utrekning'!$P$2:$P$41,'Utrekning'!$D$23)=0),"",CHOOSE(INDEX('Utrekning'!$P$2:$P$41,'Utrekning'!$D$23),"●","▲","■")&amp;IF(INDEX('Utrekning'!$AN$2:$AN$41,'Utrekning'!$D$23)&gt;1," "&amp;INDEX('Utrekning'!$AN$2:$AN$41,'Utrekning'!$D$23),"")&amp;IF($C$6="","",IF(INDEX('Utrekning'!$AB$2:$AB$41,'Utrekning'!$D$23)=0," ✱",IF(INDEX('Utrekning'!$P$2:$P$41,'Utrekning'!$D$23)&gt;INDEX('Utrekning'!$AB$2:$AB$41,'Utrekning'!$D$23)," ↑",IF(INDEX('Utrekning'!$P$2:$P$41,'Utrekning'!$D$23)&lt;INDEX('Utrekning'!$AB$2:$AB$41,'Utrekning'!$D$23)," ↓","")))))</f>
        <v/>
      </c>
    </row>
    <row r="31" ht="22" customHeight="1">
      <c r="B31" s="37">
        <f>IFERROR(INDEX('Utrekning'!$B$2:$B$41,'Utrekning'!$D$24),"")</f>
        <v/>
      </c>
      <c r="C31" s="38">
        <f>IF($B31="","",COUNTIF(INDEX('Utrekning'!$E$2:$P$41,'Utrekning'!$D$24,0),3))</f>
        <v/>
      </c>
      <c r="D31" s="38">
        <f>IF($B31="","",COUNTIF(INDEX('Utrekning'!$E$2:$P$41,'Utrekning'!$D$24,0),2))</f>
        <v/>
      </c>
      <c r="E31" s="38">
        <f>IF($B31="","",COUNTIFS('Tiltak'!$B$2:$B$251,$C$5,'Tiltak'!$C$2:$C$251,$B31,'Tiltak'!$E$2:$E$251,"&lt;&gt;",'Tiltak'!$H$2:$H$251,"&lt;&gt;Avslutta",'Tiltak'!$H$2:$H$251,"&lt;&gt;Avsluttet"))</f>
        <v/>
      </c>
      <c r="F31" s="39">
        <f>IF(OR($B31="",INDEX('Utrekning'!$E$2:$E$41,'Utrekning'!$D$24)=0),"",CHOOSE(INDEX('Utrekning'!$E$2:$E$41,'Utrekning'!$D$24),"●","▲","■")&amp;IF(INDEX('Utrekning'!$AC$2:$AC$41,'Utrekning'!$D$24)&gt;1," "&amp;INDEX('Utrekning'!$AC$2:$AC$41,'Utrekning'!$D$24),"")&amp;IF($C$6="","",IF(INDEX('Utrekning'!$Q$2:$Q$41,'Utrekning'!$D$24)=0," ✱",IF(INDEX('Utrekning'!$E$2:$E$41,'Utrekning'!$D$24)&gt;INDEX('Utrekning'!$Q$2:$Q$41,'Utrekning'!$D$24)," ↑",IF(INDEX('Utrekning'!$E$2:$E$41,'Utrekning'!$D$24)&lt;INDEX('Utrekning'!$Q$2:$Q$41,'Utrekning'!$D$24)," ↓","")))))</f>
        <v/>
      </c>
      <c r="G31" s="39">
        <f>IF(OR($B31="",INDEX('Utrekning'!$F$2:$F$41,'Utrekning'!$D$24)=0),"",CHOOSE(INDEX('Utrekning'!$F$2:$F$41,'Utrekning'!$D$24),"●","▲","■")&amp;IF(INDEX('Utrekning'!$AD$2:$AD$41,'Utrekning'!$D$24)&gt;1," "&amp;INDEX('Utrekning'!$AD$2:$AD$41,'Utrekning'!$D$24),"")&amp;IF($C$6="","",IF(INDEX('Utrekning'!$R$2:$R$41,'Utrekning'!$D$24)=0," ✱",IF(INDEX('Utrekning'!$F$2:$F$41,'Utrekning'!$D$24)&gt;INDEX('Utrekning'!$R$2:$R$41,'Utrekning'!$D$24)," ↑",IF(INDEX('Utrekning'!$F$2:$F$41,'Utrekning'!$D$24)&lt;INDEX('Utrekning'!$R$2:$R$41,'Utrekning'!$D$24)," ↓","")))))</f>
        <v/>
      </c>
      <c r="H31" s="39">
        <f>IF(OR($B31="",INDEX('Utrekning'!$G$2:$G$41,'Utrekning'!$D$24)=0),"",CHOOSE(INDEX('Utrekning'!$G$2:$G$41,'Utrekning'!$D$24),"●","▲","■")&amp;IF(INDEX('Utrekning'!$AE$2:$AE$41,'Utrekning'!$D$24)&gt;1," "&amp;INDEX('Utrekning'!$AE$2:$AE$41,'Utrekning'!$D$24),"")&amp;IF($C$6="","",IF(INDEX('Utrekning'!$S$2:$S$41,'Utrekning'!$D$24)=0," ✱",IF(INDEX('Utrekning'!$G$2:$G$41,'Utrekning'!$D$24)&gt;INDEX('Utrekning'!$S$2:$S$41,'Utrekning'!$D$24)," ↑",IF(INDEX('Utrekning'!$G$2:$G$41,'Utrekning'!$D$24)&lt;INDEX('Utrekning'!$S$2:$S$41,'Utrekning'!$D$24)," ↓","")))))</f>
        <v/>
      </c>
      <c r="I31" s="39">
        <f>IF(OR($B31="",INDEX('Utrekning'!$H$2:$H$41,'Utrekning'!$D$24)=0),"",CHOOSE(INDEX('Utrekning'!$H$2:$H$41,'Utrekning'!$D$24),"●","▲","■")&amp;IF(INDEX('Utrekning'!$AF$2:$AF$41,'Utrekning'!$D$24)&gt;1," "&amp;INDEX('Utrekning'!$AF$2:$AF$41,'Utrekning'!$D$24),"")&amp;IF($C$6="","",IF(INDEX('Utrekning'!$T$2:$T$41,'Utrekning'!$D$24)=0," ✱",IF(INDEX('Utrekning'!$H$2:$H$41,'Utrekning'!$D$24)&gt;INDEX('Utrekning'!$T$2:$T$41,'Utrekning'!$D$24)," ↑",IF(INDEX('Utrekning'!$H$2:$H$41,'Utrekning'!$D$24)&lt;INDEX('Utrekning'!$T$2:$T$41,'Utrekning'!$D$24)," ↓","")))))</f>
        <v/>
      </c>
      <c r="J31" s="39">
        <f>IF(OR($B31="",INDEX('Utrekning'!$I$2:$I$41,'Utrekning'!$D$24)=0),"",CHOOSE(INDEX('Utrekning'!$I$2:$I$41,'Utrekning'!$D$24),"●","▲","■")&amp;IF(INDEX('Utrekning'!$AG$2:$AG$41,'Utrekning'!$D$24)&gt;1," "&amp;INDEX('Utrekning'!$AG$2:$AG$41,'Utrekning'!$D$24),"")&amp;IF($C$6="","",IF(INDEX('Utrekning'!$U$2:$U$41,'Utrekning'!$D$24)=0," ✱",IF(INDEX('Utrekning'!$I$2:$I$41,'Utrekning'!$D$24)&gt;INDEX('Utrekning'!$U$2:$U$41,'Utrekning'!$D$24)," ↑",IF(INDEX('Utrekning'!$I$2:$I$41,'Utrekning'!$D$24)&lt;INDEX('Utrekning'!$U$2:$U$41,'Utrekning'!$D$24)," ↓","")))))</f>
        <v/>
      </c>
      <c r="K31" s="39">
        <f>IF(OR($B31="",INDEX('Utrekning'!$J$2:$J$41,'Utrekning'!$D$24)=0),"",CHOOSE(INDEX('Utrekning'!$J$2:$J$41,'Utrekning'!$D$24),"●","▲","■")&amp;IF(INDEX('Utrekning'!$AH$2:$AH$41,'Utrekning'!$D$24)&gt;1," "&amp;INDEX('Utrekning'!$AH$2:$AH$41,'Utrekning'!$D$24),"")&amp;IF($C$6="","",IF(INDEX('Utrekning'!$V$2:$V$41,'Utrekning'!$D$24)=0," ✱",IF(INDEX('Utrekning'!$J$2:$J$41,'Utrekning'!$D$24)&gt;INDEX('Utrekning'!$V$2:$V$41,'Utrekning'!$D$24)," ↑",IF(INDEX('Utrekning'!$J$2:$J$41,'Utrekning'!$D$24)&lt;INDEX('Utrekning'!$V$2:$V$41,'Utrekning'!$D$24)," ↓","")))))</f>
        <v/>
      </c>
      <c r="L31" s="39">
        <f>IF(OR($B31="",INDEX('Utrekning'!$K$2:$K$41,'Utrekning'!$D$24)=0),"",CHOOSE(INDEX('Utrekning'!$K$2:$K$41,'Utrekning'!$D$24),"●","▲","■")&amp;IF(INDEX('Utrekning'!$AI$2:$AI$41,'Utrekning'!$D$24)&gt;1," "&amp;INDEX('Utrekning'!$AI$2:$AI$41,'Utrekning'!$D$24),"")&amp;IF($C$6="","",IF(INDEX('Utrekning'!$W$2:$W$41,'Utrekning'!$D$24)=0," ✱",IF(INDEX('Utrekning'!$K$2:$K$41,'Utrekning'!$D$24)&gt;INDEX('Utrekning'!$W$2:$W$41,'Utrekning'!$D$24)," ↑",IF(INDEX('Utrekning'!$K$2:$K$41,'Utrekning'!$D$24)&lt;INDEX('Utrekning'!$W$2:$W$41,'Utrekning'!$D$24)," ↓","")))))</f>
        <v/>
      </c>
      <c r="M31" s="39">
        <f>IF(OR($B31="",INDEX('Utrekning'!$L$2:$L$41,'Utrekning'!$D$24)=0),"",CHOOSE(INDEX('Utrekning'!$L$2:$L$41,'Utrekning'!$D$24),"●","▲","■")&amp;IF(INDEX('Utrekning'!$AJ$2:$AJ$41,'Utrekning'!$D$24)&gt;1," "&amp;INDEX('Utrekning'!$AJ$2:$AJ$41,'Utrekning'!$D$24),"")&amp;IF($C$6="","",IF(INDEX('Utrekning'!$X$2:$X$41,'Utrekning'!$D$24)=0," ✱",IF(INDEX('Utrekning'!$L$2:$L$41,'Utrekning'!$D$24)&gt;INDEX('Utrekning'!$X$2:$X$41,'Utrekning'!$D$24)," ↑",IF(INDEX('Utrekning'!$L$2:$L$41,'Utrekning'!$D$24)&lt;INDEX('Utrekning'!$X$2:$X$41,'Utrekning'!$D$24)," ↓","")))))</f>
        <v/>
      </c>
      <c r="N31" s="39">
        <f>IF(OR($B31="",INDEX('Utrekning'!$M$2:$M$41,'Utrekning'!$D$24)=0),"",CHOOSE(INDEX('Utrekning'!$M$2:$M$41,'Utrekning'!$D$24),"●","▲","■")&amp;IF(INDEX('Utrekning'!$AK$2:$AK$41,'Utrekning'!$D$24)&gt;1," "&amp;INDEX('Utrekning'!$AK$2:$AK$41,'Utrekning'!$D$24),"")&amp;IF($C$6="","",IF(INDEX('Utrekning'!$Y$2:$Y$41,'Utrekning'!$D$24)=0," ✱",IF(INDEX('Utrekning'!$M$2:$M$41,'Utrekning'!$D$24)&gt;INDEX('Utrekning'!$Y$2:$Y$41,'Utrekning'!$D$24)," ↑",IF(INDEX('Utrekning'!$M$2:$M$41,'Utrekning'!$D$24)&lt;INDEX('Utrekning'!$Y$2:$Y$41,'Utrekning'!$D$24)," ↓","")))))</f>
        <v/>
      </c>
      <c r="O31" s="39">
        <f>IF(OR($B31="",INDEX('Utrekning'!$N$2:$N$41,'Utrekning'!$D$24)=0),"",CHOOSE(INDEX('Utrekning'!$N$2:$N$41,'Utrekning'!$D$24),"●","▲","■")&amp;IF(INDEX('Utrekning'!$AL$2:$AL$41,'Utrekning'!$D$24)&gt;1," "&amp;INDEX('Utrekning'!$AL$2:$AL$41,'Utrekning'!$D$24),"")&amp;IF($C$6="","",IF(INDEX('Utrekning'!$Z$2:$Z$41,'Utrekning'!$D$24)=0," ✱",IF(INDEX('Utrekning'!$N$2:$N$41,'Utrekning'!$D$24)&gt;INDEX('Utrekning'!$Z$2:$Z$41,'Utrekning'!$D$24)," ↑",IF(INDEX('Utrekning'!$N$2:$N$41,'Utrekning'!$D$24)&lt;INDEX('Utrekning'!$Z$2:$Z$41,'Utrekning'!$D$24)," ↓","")))))</f>
        <v/>
      </c>
      <c r="P31" s="39">
        <f>IF(OR($B31="",INDEX('Utrekning'!$O$2:$O$41,'Utrekning'!$D$24)=0),"",CHOOSE(INDEX('Utrekning'!$O$2:$O$41,'Utrekning'!$D$24),"●","▲","■")&amp;IF(INDEX('Utrekning'!$AM$2:$AM$41,'Utrekning'!$D$24)&gt;1," "&amp;INDEX('Utrekning'!$AM$2:$AM$41,'Utrekning'!$D$24),"")&amp;IF($C$6="","",IF(INDEX('Utrekning'!$AA$2:$AA$41,'Utrekning'!$D$24)=0," ✱",IF(INDEX('Utrekning'!$O$2:$O$41,'Utrekning'!$D$24)&gt;INDEX('Utrekning'!$AA$2:$AA$41,'Utrekning'!$D$24)," ↑",IF(INDEX('Utrekning'!$O$2:$O$41,'Utrekning'!$D$24)&lt;INDEX('Utrekning'!$AA$2:$AA$41,'Utrekning'!$D$24)," ↓","")))))</f>
        <v/>
      </c>
      <c r="Q31" s="39">
        <f>IF(OR($B31="",INDEX('Utrekning'!$P$2:$P$41,'Utrekning'!$D$24)=0),"",CHOOSE(INDEX('Utrekning'!$P$2:$P$41,'Utrekning'!$D$24),"●","▲","■")&amp;IF(INDEX('Utrekning'!$AN$2:$AN$41,'Utrekning'!$D$24)&gt;1," "&amp;INDEX('Utrekning'!$AN$2:$AN$41,'Utrekning'!$D$24),"")&amp;IF($C$6="","",IF(INDEX('Utrekning'!$AB$2:$AB$41,'Utrekning'!$D$24)=0," ✱",IF(INDEX('Utrekning'!$P$2:$P$41,'Utrekning'!$D$24)&gt;INDEX('Utrekning'!$AB$2:$AB$41,'Utrekning'!$D$24)," ↑",IF(INDEX('Utrekning'!$P$2:$P$41,'Utrekning'!$D$24)&lt;INDEX('Utrekning'!$AB$2:$AB$41,'Utrekning'!$D$24)," ↓","")))))</f>
        <v/>
      </c>
    </row>
    <row r="32" ht="22" customHeight="1">
      <c r="B32" s="37">
        <f>IFERROR(INDEX('Utrekning'!$B$2:$B$41,'Utrekning'!$D$25),"")</f>
        <v/>
      </c>
      <c r="C32" s="38">
        <f>IF($B32="","",COUNTIF(INDEX('Utrekning'!$E$2:$P$41,'Utrekning'!$D$25,0),3))</f>
        <v/>
      </c>
      <c r="D32" s="38">
        <f>IF($B32="","",COUNTIF(INDEX('Utrekning'!$E$2:$P$41,'Utrekning'!$D$25,0),2))</f>
        <v/>
      </c>
      <c r="E32" s="38">
        <f>IF($B32="","",COUNTIFS('Tiltak'!$B$2:$B$251,$C$5,'Tiltak'!$C$2:$C$251,$B32,'Tiltak'!$E$2:$E$251,"&lt;&gt;",'Tiltak'!$H$2:$H$251,"&lt;&gt;Avslutta",'Tiltak'!$H$2:$H$251,"&lt;&gt;Avsluttet"))</f>
        <v/>
      </c>
      <c r="F32" s="39">
        <f>IF(OR($B32="",INDEX('Utrekning'!$E$2:$E$41,'Utrekning'!$D$25)=0),"",CHOOSE(INDEX('Utrekning'!$E$2:$E$41,'Utrekning'!$D$25),"●","▲","■")&amp;IF(INDEX('Utrekning'!$AC$2:$AC$41,'Utrekning'!$D$25)&gt;1," "&amp;INDEX('Utrekning'!$AC$2:$AC$41,'Utrekning'!$D$25),"")&amp;IF($C$6="","",IF(INDEX('Utrekning'!$Q$2:$Q$41,'Utrekning'!$D$25)=0," ✱",IF(INDEX('Utrekning'!$E$2:$E$41,'Utrekning'!$D$25)&gt;INDEX('Utrekning'!$Q$2:$Q$41,'Utrekning'!$D$25)," ↑",IF(INDEX('Utrekning'!$E$2:$E$41,'Utrekning'!$D$25)&lt;INDEX('Utrekning'!$Q$2:$Q$41,'Utrekning'!$D$25)," ↓","")))))</f>
        <v/>
      </c>
      <c r="G32" s="39">
        <f>IF(OR($B32="",INDEX('Utrekning'!$F$2:$F$41,'Utrekning'!$D$25)=0),"",CHOOSE(INDEX('Utrekning'!$F$2:$F$41,'Utrekning'!$D$25),"●","▲","■")&amp;IF(INDEX('Utrekning'!$AD$2:$AD$41,'Utrekning'!$D$25)&gt;1," "&amp;INDEX('Utrekning'!$AD$2:$AD$41,'Utrekning'!$D$25),"")&amp;IF($C$6="","",IF(INDEX('Utrekning'!$R$2:$R$41,'Utrekning'!$D$25)=0," ✱",IF(INDEX('Utrekning'!$F$2:$F$41,'Utrekning'!$D$25)&gt;INDEX('Utrekning'!$R$2:$R$41,'Utrekning'!$D$25)," ↑",IF(INDEX('Utrekning'!$F$2:$F$41,'Utrekning'!$D$25)&lt;INDEX('Utrekning'!$R$2:$R$41,'Utrekning'!$D$25)," ↓","")))))</f>
        <v/>
      </c>
      <c r="H32" s="39">
        <f>IF(OR($B32="",INDEX('Utrekning'!$G$2:$G$41,'Utrekning'!$D$25)=0),"",CHOOSE(INDEX('Utrekning'!$G$2:$G$41,'Utrekning'!$D$25),"●","▲","■")&amp;IF(INDEX('Utrekning'!$AE$2:$AE$41,'Utrekning'!$D$25)&gt;1," "&amp;INDEX('Utrekning'!$AE$2:$AE$41,'Utrekning'!$D$25),"")&amp;IF($C$6="","",IF(INDEX('Utrekning'!$S$2:$S$41,'Utrekning'!$D$25)=0," ✱",IF(INDEX('Utrekning'!$G$2:$G$41,'Utrekning'!$D$25)&gt;INDEX('Utrekning'!$S$2:$S$41,'Utrekning'!$D$25)," ↑",IF(INDEX('Utrekning'!$G$2:$G$41,'Utrekning'!$D$25)&lt;INDEX('Utrekning'!$S$2:$S$41,'Utrekning'!$D$25)," ↓","")))))</f>
        <v/>
      </c>
      <c r="I32" s="39">
        <f>IF(OR($B32="",INDEX('Utrekning'!$H$2:$H$41,'Utrekning'!$D$25)=0),"",CHOOSE(INDEX('Utrekning'!$H$2:$H$41,'Utrekning'!$D$25),"●","▲","■")&amp;IF(INDEX('Utrekning'!$AF$2:$AF$41,'Utrekning'!$D$25)&gt;1," "&amp;INDEX('Utrekning'!$AF$2:$AF$41,'Utrekning'!$D$25),"")&amp;IF($C$6="","",IF(INDEX('Utrekning'!$T$2:$T$41,'Utrekning'!$D$25)=0," ✱",IF(INDEX('Utrekning'!$H$2:$H$41,'Utrekning'!$D$25)&gt;INDEX('Utrekning'!$T$2:$T$41,'Utrekning'!$D$25)," ↑",IF(INDEX('Utrekning'!$H$2:$H$41,'Utrekning'!$D$25)&lt;INDEX('Utrekning'!$T$2:$T$41,'Utrekning'!$D$25)," ↓","")))))</f>
        <v/>
      </c>
      <c r="J32" s="39">
        <f>IF(OR($B32="",INDEX('Utrekning'!$I$2:$I$41,'Utrekning'!$D$25)=0),"",CHOOSE(INDEX('Utrekning'!$I$2:$I$41,'Utrekning'!$D$25),"●","▲","■")&amp;IF(INDEX('Utrekning'!$AG$2:$AG$41,'Utrekning'!$D$25)&gt;1," "&amp;INDEX('Utrekning'!$AG$2:$AG$41,'Utrekning'!$D$25),"")&amp;IF($C$6="","",IF(INDEX('Utrekning'!$U$2:$U$41,'Utrekning'!$D$25)=0," ✱",IF(INDEX('Utrekning'!$I$2:$I$41,'Utrekning'!$D$25)&gt;INDEX('Utrekning'!$U$2:$U$41,'Utrekning'!$D$25)," ↑",IF(INDEX('Utrekning'!$I$2:$I$41,'Utrekning'!$D$25)&lt;INDEX('Utrekning'!$U$2:$U$41,'Utrekning'!$D$25)," ↓","")))))</f>
        <v/>
      </c>
      <c r="K32" s="39">
        <f>IF(OR($B32="",INDEX('Utrekning'!$J$2:$J$41,'Utrekning'!$D$25)=0),"",CHOOSE(INDEX('Utrekning'!$J$2:$J$41,'Utrekning'!$D$25),"●","▲","■")&amp;IF(INDEX('Utrekning'!$AH$2:$AH$41,'Utrekning'!$D$25)&gt;1," "&amp;INDEX('Utrekning'!$AH$2:$AH$41,'Utrekning'!$D$25),"")&amp;IF($C$6="","",IF(INDEX('Utrekning'!$V$2:$V$41,'Utrekning'!$D$25)=0," ✱",IF(INDEX('Utrekning'!$J$2:$J$41,'Utrekning'!$D$25)&gt;INDEX('Utrekning'!$V$2:$V$41,'Utrekning'!$D$25)," ↑",IF(INDEX('Utrekning'!$J$2:$J$41,'Utrekning'!$D$25)&lt;INDEX('Utrekning'!$V$2:$V$41,'Utrekning'!$D$25)," ↓","")))))</f>
        <v/>
      </c>
      <c r="L32" s="39">
        <f>IF(OR($B32="",INDEX('Utrekning'!$K$2:$K$41,'Utrekning'!$D$25)=0),"",CHOOSE(INDEX('Utrekning'!$K$2:$K$41,'Utrekning'!$D$25),"●","▲","■")&amp;IF(INDEX('Utrekning'!$AI$2:$AI$41,'Utrekning'!$D$25)&gt;1," "&amp;INDEX('Utrekning'!$AI$2:$AI$41,'Utrekning'!$D$25),"")&amp;IF($C$6="","",IF(INDEX('Utrekning'!$W$2:$W$41,'Utrekning'!$D$25)=0," ✱",IF(INDEX('Utrekning'!$K$2:$K$41,'Utrekning'!$D$25)&gt;INDEX('Utrekning'!$W$2:$W$41,'Utrekning'!$D$25)," ↑",IF(INDEX('Utrekning'!$K$2:$K$41,'Utrekning'!$D$25)&lt;INDEX('Utrekning'!$W$2:$W$41,'Utrekning'!$D$25)," ↓","")))))</f>
        <v/>
      </c>
      <c r="M32" s="39">
        <f>IF(OR($B32="",INDEX('Utrekning'!$L$2:$L$41,'Utrekning'!$D$25)=0),"",CHOOSE(INDEX('Utrekning'!$L$2:$L$41,'Utrekning'!$D$25),"●","▲","■")&amp;IF(INDEX('Utrekning'!$AJ$2:$AJ$41,'Utrekning'!$D$25)&gt;1," "&amp;INDEX('Utrekning'!$AJ$2:$AJ$41,'Utrekning'!$D$25),"")&amp;IF($C$6="","",IF(INDEX('Utrekning'!$X$2:$X$41,'Utrekning'!$D$25)=0," ✱",IF(INDEX('Utrekning'!$L$2:$L$41,'Utrekning'!$D$25)&gt;INDEX('Utrekning'!$X$2:$X$41,'Utrekning'!$D$25)," ↑",IF(INDEX('Utrekning'!$L$2:$L$41,'Utrekning'!$D$25)&lt;INDEX('Utrekning'!$X$2:$X$41,'Utrekning'!$D$25)," ↓","")))))</f>
        <v/>
      </c>
      <c r="N32" s="39">
        <f>IF(OR($B32="",INDEX('Utrekning'!$M$2:$M$41,'Utrekning'!$D$25)=0),"",CHOOSE(INDEX('Utrekning'!$M$2:$M$41,'Utrekning'!$D$25),"●","▲","■")&amp;IF(INDEX('Utrekning'!$AK$2:$AK$41,'Utrekning'!$D$25)&gt;1," "&amp;INDEX('Utrekning'!$AK$2:$AK$41,'Utrekning'!$D$25),"")&amp;IF($C$6="","",IF(INDEX('Utrekning'!$Y$2:$Y$41,'Utrekning'!$D$25)=0," ✱",IF(INDEX('Utrekning'!$M$2:$M$41,'Utrekning'!$D$25)&gt;INDEX('Utrekning'!$Y$2:$Y$41,'Utrekning'!$D$25)," ↑",IF(INDEX('Utrekning'!$M$2:$M$41,'Utrekning'!$D$25)&lt;INDEX('Utrekning'!$Y$2:$Y$41,'Utrekning'!$D$25)," ↓","")))))</f>
        <v/>
      </c>
      <c r="O32" s="39">
        <f>IF(OR($B32="",INDEX('Utrekning'!$N$2:$N$41,'Utrekning'!$D$25)=0),"",CHOOSE(INDEX('Utrekning'!$N$2:$N$41,'Utrekning'!$D$25),"●","▲","■")&amp;IF(INDEX('Utrekning'!$AL$2:$AL$41,'Utrekning'!$D$25)&gt;1," "&amp;INDEX('Utrekning'!$AL$2:$AL$41,'Utrekning'!$D$25),"")&amp;IF($C$6="","",IF(INDEX('Utrekning'!$Z$2:$Z$41,'Utrekning'!$D$25)=0," ✱",IF(INDEX('Utrekning'!$N$2:$N$41,'Utrekning'!$D$25)&gt;INDEX('Utrekning'!$Z$2:$Z$41,'Utrekning'!$D$25)," ↑",IF(INDEX('Utrekning'!$N$2:$N$41,'Utrekning'!$D$25)&lt;INDEX('Utrekning'!$Z$2:$Z$41,'Utrekning'!$D$25)," ↓","")))))</f>
        <v/>
      </c>
      <c r="P32" s="39">
        <f>IF(OR($B32="",INDEX('Utrekning'!$O$2:$O$41,'Utrekning'!$D$25)=0),"",CHOOSE(INDEX('Utrekning'!$O$2:$O$41,'Utrekning'!$D$25),"●","▲","■")&amp;IF(INDEX('Utrekning'!$AM$2:$AM$41,'Utrekning'!$D$25)&gt;1," "&amp;INDEX('Utrekning'!$AM$2:$AM$41,'Utrekning'!$D$25),"")&amp;IF($C$6="","",IF(INDEX('Utrekning'!$AA$2:$AA$41,'Utrekning'!$D$25)=0," ✱",IF(INDEX('Utrekning'!$O$2:$O$41,'Utrekning'!$D$25)&gt;INDEX('Utrekning'!$AA$2:$AA$41,'Utrekning'!$D$25)," ↑",IF(INDEX('Utrekning'!$O$2:$O$41,'Utrekning'!$D$25)&lt;INDEX('Utrekning'!$AA$2:$AA$41,'Utrekning'!$D$25)," ↓","")))))</f>
        <v/>
      </c>
      <c r="Q32" s="39">
        <f>IF(OR($B32="",INDEX('Utrekning'!$P$2:$P$41,'Utrekning'!$D$25)=0),"",CHOOSE(INDEX('Utrekning'!$P$2:$P$41,'Utrekning'!$D$25),"●","▲","■")&amp;IF(INDEX('Utrekning'!$AN$2:$AN$41,'Utrekning'!$D$25)&gt;1," "&amp;INDEX('Utrekning'!$AN$2:$AN$41,'Utrekning'!$D$25),"")&amp;IF($C$6="","",IF(INDEX('Utrekning'!$AB$2:$AB$41,'Utrekning'!$D$25)=0," ✱",IF(INDEX('Utrekning'!$P$2:$P$41,'Utrekning'!$D$25)&gt;INDEX('Utrekning'!$AB$2:$AB$41,'Utrekning'!$D$25)," ↑",IF(INDEX('Utrekning'!$P$2:$P$41,'Utrekning'!$D$25)&lt;INDEX('Utrekning'!$AB$2:$AB$41,'Utrekning'!$D$25)," ↓","")))))</f>
        <v/>
      </c>
    </row>
    <row r="33" ht="22" customHeight="1">
      <c r="B33" s="37">
        <f>IFERROR(INDEX('Utrekning'!$B$2:$B$41,'Utrekning'!$D$26),"")</f>
        <v/>
      </c>
      <c r="C33" s="38">
        <f>IF($B33="","",COUNTIF(INDEX('Utrekning'!$E$2:$P$41,'Utrekning'!$D$26,0),3))</f>
        <v/>
      </c>
      <c r="D33" s="38">
        <f>IF($B33="","",COUNTIF(INDEX('Utrekning'!$E$2:$P$41,'Utrekning'!$D$26,0),2))</f>
        <v/>
      </c>
      <c r="E33" s="38">
        <f>IF($B33="","",COUNTIFS('Tiltak'!$B$2:$B$251,$C$5,'Tiltak'!$C$2:$C$251,$B33,'Tiltak'!$E$2:$E$251,"&lt;&gt;",'Tiltak'!$H$2:$H$251,"&lt;&gt;Avslutta",'Tiltak'!$H$2:$H$251,"&lt;&gt;Avsluttet"))</f>
        <v/>
      </c>
      <c r="F33" s="39">
        <f>IF(OR($B33="",INDEX('Utrekning'!$E$2:$E$41,'Utrekning'!$D$26)=0),"",CHOOSE(INDEX('Utrekning'!$E$2:$E$41,'Utrekning'!$D$26),"●","▲","■")&amp;IF(INDEX('Utrekning'!$AC$2:$AC$41,'Utrekning'!$D$26)&gt;1," "&amp;INDEX('Utrekning'!$AC$2:$AC$41,'Utrekning'!$D$26),"")&amp;IF($C$6="","",IF(INDEX('Utrekning'!$Q$2:$Q$41,'Utrekning'!$D$26)=0," ✱",IF(INDEX('Utrekning'!$E$2:$E$41,'Utrekning'!$D$26)&gt;INDEX('Utrekning'!$Q$2:$Q$41,'Utrekning'!$D$26)," ↑",IF(INDEX('Utrekning'!$E$2:$E$41,'Utrekning'!$D$26)&lt;INDEX('Utrekning'!$Q$2:$Q$41,'Utrekning'!$D$26)," ↓","")))))</f>
        <v/>
      </c>
      <c r="G33" s="39">
        <f>IF(OR($B33="",INDEX('Utrekning'!$F$2:$F$41,'Utrekning'!$D$26)=0),"",CHOOSE(INDEX('Utrekning'!$F$2:$F$41,'Utrekning'!$D$26),"●","▲","■")&amp;IF(INDEX('Utrekning'!$AD$2:$AD$41,'Utrekning'!$D$26)&gt;1," "&amp;INDEX('Utrekning'!$AD$2:$AD$41,'Utrekning'!$D$26),"")&amp;IF($C$6="","",IF(INDEX('Utrekning'!$R$2:$R$41,'Utrekning'!$D$26)=0," ✱",IF(INDEX('Utrekning'!$F$2:$F$41,'Utrekning'!$D$26)&gt;INDEX('Utrekning'!$R$2:$R$41,'Utrekning'!$D$26)," ↑",IF(INDEX('Utrekning'!$F$2:$F$41,'Utrekning'!$D$26)&lt;INDEX('Utrekning'!$R$2:$R$41,'Utrekning'!$D$26)," ↓","")))))</f>
        <v/>
      </c>
      <c r="H33" s="39">
        <f>IF(OR($B33="",INDEX('Utrekning'!$G$2:$G$41,'Utrekning'!$D$26)=0),"",CHOOSE(INDEX('Utrekning'!$G$2:$G$41,'Utrekning'!$D$26),"●","▲","■")&amp;IF(INDEX('Utrekning'!$AE$2:$AE$41,'Utrekning'!$D$26)&gt;1," "&amp;INDEX('Utrekning'!$AE$2:$AE$41,'Utrekning'!$D$26),"")&amp;IF($C$6="","",IF(INDEX('Utrekning'!$S$2:$S$41,'Utrekning'!$D$26)=0," ✱",IF(INDEX('Utrekning'!$G$2:$G$41,'Utrekning'!$D$26)&gt;INDEX('Utrekning'!$S$2:$S$41,'Utrekning'!$D$26)," ↑",IF(INDEX('Utrekning'!$G$2:$G$41,'Utrekning'!$D$26)&lt;INDEX('Utrekning'!$S$2:$S$41,'Utrekning'!$D$26)," ↓","")))))</f>
        <v/>
      </c>
      <c r="I33" s="39">
        <f>IF(OR($B33="",INDEX('Utrekning'!$H$2:$H$41,'Utrekning'!$D$26)=0),"",CHOOSE(INDEX('Utrekning'!$H$2:$H$41,'Utrekning'!$D$26),"●","▲","■")&amp;IF(INDEX('Utrekning'!$AF$2:$AF$41,'Utrekning'!$D$26)&gt;1," "&amp;INDEX('Utrekning'!$AF$2:$AF$41,'Utrekning'!$D$26),"")&amp;IF($C$6="","",IF(INDEX('Utrekning'!$T$2:$T$41,'Utrekning'!$D$26)=0," ✱",IF(INDEX('Utrekning'!$H$2:$H$41,'Utrekning'!$D$26)&gt;INDEX('Utrekning'!$T$2:$T$41,'Utrekning'!$D$26)," ↑",IF(INDEX('Utrekning'!$H$2:$H$41,'Utrekning'!$D$26)&lt;INDEX('Utrekning'!$T$2:$T$41,'Utrekning'!$D$26)," ↓","")))))</f>
        <v/>
      </c>
      <c r="J33" s="39">
        <f>IF(OR($B33="",INDEX('Utrekning'!$I$2:$I$41,'Utrekning'!$D$26)=0),"",CHOOSE(INDEX('Utrekning'!$I$2:$I$41,'Utrekning'!$D$26),"●","▲","■")&amp;IF(INDEX('Utrekning'!$AG$2:$AG$41,'Utrekning'!$D$26)&gt;1," "&amp;INDEX('Utrekning'!$AG$2:$AG$41,'Utrekning'!$D$26),"")&amp;IF($C$6="","",IF(INDEX('Utrekning'!$U$2:$U$41,'Utrekning'!$D$26)=0," ✱",IF(INDEX('Utrekning'!$I$2:$I$41,'Utrekning'!$D$26)&gt;INDEX('Utrekning'!$U$2:$U$41,'Utrekning'!$D$26)," ↑",IF(INDEX('Utrekning'!$I$2:$I$41,'Utrekning'!$D$26)&lt;INDEX('Utrekning'!$U$2:$U$41,'Utrekning'!$D$26)," ↓","")))))</f>
        <v/>
      </c>
      <c r="K33" s="39">
        <f>IF(OR($B33="",INDEX('Utrekning'!$J$2:$J$41,'Utrekning'!$D$26)=0),"",CHOOSE(INDEX('Utrekning'!$J$2:$J$41,'Utrekning'!$D$26),"●","▲","■")&amp;IF(INDEX('Utrekning'!$AH$2:$AH$41,'Utrekning'!$D$26)&gt;1," "&amp;INDEX('Utrekning'!$AH$2:$AH$41,'Utrekning'!$D$26),"")&amp;IF($C$6="","",IF(INDEX('Utrekning'!$V$2:$V$41,'Utrekning'!$D$26)=0," ✱",IF(INDEX('Utrekning'!$J$2:$J$41,'Utrekning'!$D$26)&gt;INDEX('Utrekning'!$V$2:$V$41,'Utrekning'!$D$26)," ↑",IF(INDEX('Utrekning'!$J$2:$J$41,'Utrekning'!$D$26)&lt;INDEX('Utrekning'!$V$2:$V$41,'Utrekning'!$D$26)," ↓","")))))</f>
        <v/>
      </c>
      <c r="L33" s="39">
        <f>IF(OR($B33="",INDEX('Utrekning'!$K$2:$K$41,'Utrekning'!$D$26)=0),"",CHOOSE(INDEX('Utrekning'!$K$2:$K$41,'Utrekning'!$D$26),"●","▲","■")&amp;IF(INDEX('Utrekning'!$AI$2:$AI$41,'Utrekning'!$D$26)&gt;1," "&amp;INDEX('Utrekning'!$AI$2:$AI$41,'Utrekning'!$D$26),"")&amp;IF($C$6="","",IF(INDEX('Utrekning'!$W$2:$W$41,'Utrekning'!$D$26)=0," ✱",IF(INDEX('Utrekning'!$K$2:$K$41,'Utrekning'!$D$26)&gt;INDEX('Utrekning'!$W$2:$W$41,'Utrekning'!$D$26)," ↑",IF(INDEX('Utrekning'!$K$2:$K$41,'Utrekning'!$D$26)&lt;INDEX('Utrekning'!$W$2:$W$41,'Utrekning'!$D$26)," ↓","")))))</f>
        <v/>
      </c>
      <c r="M33" s="39">
        <f>IF(OR($B33="",INDEX('Utrekning'!$L$2:$L$41,'Utrekning'!$D$26)=0),"",CHOOSE(INDEX('Utrekning'!$L$2:$L$41,'Utrekning'!$D$26),"●","▲","■")&amp;IF(INDEX('Utrekning'!$AJ$2:$AJ$41,'Utrekning'!$D$26)&gt;1," "&amp;INDEX('Utrekning'!$AJ$2:$AJ$41,'Utrekning'!$D$26),"")&amp;IF($C$6="","",IF(INDEX('Utrekning'!$X$2:$X$41,'Utrekning'!$D$26)=0," ✱",IF(INDEX('Utrekning'!$L$2:$L$41,'Utrekning'!$D$26)&gt;INDEX('Utrekning'!$X$2:$X$41,'Utrekning'!$D$26)," ↑",IF(INDEX('Utrekning'!$L$2:$L$41,'Utrekning'!$D$26)&lt;INDEX('Utrekning'!$X$2:$X$41,'Utrekning'!$D$26)," ↓","")))))</f>
        <v/>
      </c>
      <c r="N33" s="39">
        <f>IF(OR($B33="",INDEX('Utrekning'!$M$2:$M$41,'Utrekning'!$D$26)=0),"",CHOOSE(INDEX('Utrekning'!$M$2:$M$41,'Utrekning'!$D$26),"●","▲","■")&amp;IF(INDEX('Utrekning'!$AK$2:$AK$41,'Utrekning'!$D$26)&gt;1," "&amp;INDEX('Utrekning'!$AK$2:$AK$41,'Utrekning'!$D$26),"")&amp;IF($C$6="","",IF(INDEX('Utrekning'!$Y$2:$Y$41,'Utrekning'!$D$26)=0," ✱",IF(INDEX('Utrekning'!$M$2:$M$41,'Utrekning'!$D$26)&gt;INDEX('Utrekning'!$Y$2:$Y$41,'Utrekning'!$D$26)," ↑",IF(INDEX('Utrekning'!$M$2:$M$41,'Utrekning'!$D$26)&lt;INDEX('Utrekning'!$Y$2:$Y$41,'Utrekning'!$D$26)," ↓","")))))</f>
        <v/>
      </c>
      <c r="O33" s="39">
        <f>IF(OR($B33="",INDEX('Utrekning'!$N$2:$N$41,'Utrekning'!$D$26)=0),"",CHOOSE(INDEX('Utrekning'!$N$2:$N$41,'Utrekning'!$D$26),"●","▲","■")&amp;IF(INDEX('Utrekning'!$AL$2:$AL$41,'Utrekning'!$D$26)&gt;1," "&amp;INDEX('Utrekning'!$AL$2:$AL$41,'Utrekning'!$D$26),"")&amp;IF($C$6="","",IF(INDEX('Utrekning'!$Z$2:$Z$41,'Utrekning'!$D$26)=0," ✱",IF(INDEX('Utrekning'!$N$2:$N$41,'Utrekning'!$D$26)&gt;INDEX('Utrekning'!$Z$2:$Z$41,'Utrekning'!$D$26)," ↑",IF(INDEX('Utrekning'!$N$2:$N$41,'Utrekning'!$D$26)&lt;INDEX('Utrekning'!$Z$2:$Z$41,'Utrekning'!$D$26)," ↓","")))))</f>
        <v/>
      </c>
      <c r="P33" s="39">
        <f>IF(OR($B33="",INDEX('Utrekning'!$O$2:$O$41,'Utrekning'!$D$26)=0),"",CHOOSE(INDEX('Utrekning'!$O$2:$O$41,'Utrekning'!$D$26),"●","▲","■")&amp;IF(INDEX('Utrekning'!$AM$2:$AM$41,'Utrekning'!$D$26)&gt;1," "&amp;INDEX('Utrekning'!$AM$2:$AM$41,'Utrekning'!$D$26),"")&amp;IF($C$6="","",IF(INDEX('Utrekning'!$AA$2:$AA$41,'Utrekning'!$D$26)=0," ✱",IF(INDEX('Utrekning'!$O$2:$O$41,'Utrekning'!$D$26)&gt;INDEX('Utrekning'!$AA$2:$AA$41,'Utrekning'!$D$26)," ↑",IF(INDEX('Utrekning'!$O$2:$O$41,'Utrekning'!$D$26)&lt;INDEX('Utrekning'!$AA$2:$AA$41,'Utrekning'!$D$26)," ↓","")))))</f>
        <v/>
      </c>
      <c r="Q33" s="39">
        <f>IF(OR($B33="",INDEX('Utrekning'!$P$2:$P$41,'Utrekning'!$D$26)=0),"",CHOOSE(INDEX('Utrekning'!$P$2:$P$41,'Utrekning'!$D$26),"●","▲","■")&amp;IF(INDEX('Utrekning'!$AN$2:$AN$41,'Utrekning'!$D$26)&gt;1," "&amp;INDEX('Utrekning'!$AN$2:$AN$41,'Utrekning'!$D$26),"")&amp;IF($C$6="","",IF(INDEX('Utrekning'!$AB$2:$AB$41,'Utrekning'!$D$26)=0," ✱",IF(INDEX('Utrekning'!$P$2:$P$41,'Utrekning'!$D$26)&gt;INDEX('Utrekning'!$AB$2:$AB$41,'Utrekning'!$D$26)," ↑",IF(INDEX('Utrekning'!$P$2:$P$41,'Utrekning'!$D$26)&lt;INDEX('Utrekning'!$AB$2:$AB$41,'Utrekning'!$D$26)," ↓","")))))</f>
        <v/>
      </c>
    </row>
    <row r="34" ht="22" customHeight="1">
      <c r="B34" s="37">
        <f>IFERROR(INDEX('Utrekning'!$B$2:$B$41,'Utrekning'!$D$27),"")</f>
        <v/>
      </c>
      <c r="C34" s="38">
        <f>IF($B34="","",COUNTIF(INDEX('Utrekning'!$E$2:$P$41,'Utrekning'!$D$27,0),3))</f>
        <v/>
      </c>
      <c r="D34" s="38">
        <f>IF($B34="","",COUNTIF(INDEX('Utrekning'!$E$2:$P$41,'Utrekning'!$D$27,0),2))</f>
        <v/>
      </c>
      <c r="E34" s="38">
        <f>IF($B34="","",COUNTIFS('Tiltak'!$B$2:$B$251,$C$5,'Tiltak'!$C$2:$C$251,$B34,'Tiltak'!$E$2:$E$251,"&lt;&gt;",'Tiltak'!$H$2:$H$251,"&lt;&gt;Avslutta",'Tiltak'!$H$2:$H$251,"&lt;&gt;Avsluttet"))</f>
        <v/>
      </c>
      <c r="F34" s="39">
        <f>IF(OR($B34="",INDEX('Utrekning'!$E$2:$E$41,'Utrekning'!$D$27)=0),"",CHOOSE(INDEX('Utrekning'!$E$2:$E$41,'Utrekning'!$D$27),"●","▲","■")&amp;IF(INDEX('Utrekning'!$AC$2:$AC$41,'Utrekning'!$D$27)&gt;1," "&amp;INDEX('Utrekning'!$AC$2:$AC$41,'Utrekning'!$D$27),"")&amp;IF($C$6="","",IF(INDEX('Utrekning'!$Q$2:$Q$41,'Utrekning'!$D$27)=0," ✱",IF(INDEX('Utrekning'!$E$2:$E$41,'Utrekning'!$D$27)&gt;INDEX('Utrekning'!$Q$2:$Q$41,'Utrekning'!$D$27)," ↑",IF(INDEX('Utrekning'!$E$2:$E$41,'Utrekning'!$D$27)&lt;INDEX('Utrekning'!$Q$2:$Q$41,'Utrekning'!$D$27)," ↓","")))))</f>
        <v/>
      </c>
      <c r="G34" s="39">
        <f>IF(OR($B34="",INDEX('Utrekning'!$F$2:$F$41,'Utrekning'!$D$27)=0),"",CHOOSE(INDEX('Utrekning'!$F$2:$F$41,'Utrekning'!$D$27),"●","▲","■")&amp;IF(INDEX('Utrekning'!$AD$2:$AD$41,'Utrekning'!$D$27)&gt;1," "&amp;INDEX('Utrekning'!$AD$2:$AD$41,'Utrekning'!$D$27),"")&amp;IF($C$6="","",IF(INDEX('Utrekning'!$R$2:$R$41,'Utrekning'!$D$27)=0," ✱",IF(INDEX('Utrekning'!$F$2:$F$41,'Utrekning'!$D$27)&gt;INDEX('Utrekning'!$R$2:$R$41,'Utrekning'!$D$27)," ↑",IF(INDEX('Utrekning'!$F$2:$F$41,'Utrekning'!$D$27)&lt;INDEX('Utrekning'!$R$2:$R$41,'Utrekning'!$D$27)," ↓","")))))</f>
        <v/>
      </c>
      <c r="H34" s="39">
        <f>IF(OR($B34="",INDEX('Utrekning'!$G$2:$G$41,'Utrekning'!$D$27)=0),"",CHOOSE(INDEX('Utrekning'!$G$2:$G$41,'Utrekning'!$D$27),"●","▲","■")&amp;IF(INDEX('Utrekning'!$AE$2:$AE$41,'Utrekning'!$D$27)&gt;1," "&amp;INDEX('Utrekning'!$AE$2:$AE$41,'Utrekning'!$D$27),"")&amp;IF($C$6="","",IF(INDEX('Utrekning'!$S$2:$S$41,'Utrekning'!$D$27)=0," ✱",IF(INDEX('Utrekning'!$G$2:$G$41,'Utrekning'!$D$27)&gt;INDEX('Utrekning'!$S$2:$S$41,'Utrekning'!$D$27)," ↑",IF(INDEX('Utrekning'!$G$2:$G$41,'Utrekning'!$D$27)&lt;INDEX('Utrekning'!$S$2:$S$41,'Utrekning'!$D$27)," ↓","")))))</f>
        <v/>
      </c>
      <c r="I34" s="39">
        <f>IF(OR($B34="",INDEX('Utrekning'!$H$2:$H$41,'Utrekning'!$D$27)=0),"",CHOOSE(INDEX('Utrekning'!$H$2:$H$41,'Utrekning'!$D$27),"●","▲","■")&amp;IF(INDEX('Utrekning'!$AF$2:$AF$41,'Utrekning'!$D$27)&gt;1," "&amp;INDEX('Utrekning'!$AF$2:$AF$41,'Utrekning'!$D$27),"")&amp;IF($C$6="","",IF(INDEX('Utrekning'!$T$2:$T$41,'Utrekning'!$D$27)=0," ✱",IF(INDEX('Utrekning'!$H$2:$H$41,'Utrekning'!$D$27)&gt;INDEX('Utrekning'!$T$2:$T$41,'Utrekning'!$D$27)," ↑",IF(INDEX('Utrekning'!$H$2:$H$41,'Utrekning'!$D$27)&lt;INDEX('Utrekning'!$T$2:$T$41,'Utrekning'!$D$27)," ↓","")))))</f>
        <v/>
      </c>
      <c r="J34" s="39">
        <f>IF(OR($B34="",INDEX('Utrekning'!$I$2:$I$41,'Utrekning'!$D$27)=0),"",CHOOSE(INDEX('Utrekning'!$I$2:$I$41,'Utrekning'!$D$27),"●","▲","■")&amp;IF(INDEX('Utrekning'!$AG$2:$AG$41,'Utrekning'!$D$27)&gt;1," "&amp;INDEX('Utrekning'!$AG$2:$AG$41,'Utrekning'!$D$27),"")&amp;IF($C$6="","",IF(INDEX('Utrekning'!$U$2:$U$41,'Utrekning'!$D$27)=0," ✱",IF(INDEX('Utrekning'!$I$2:$I$41,'Utrekning'!$D$27)&gt;INDEX('Utrekning'!$U$2:$U$41,'Utrekning'!$D$27)," ↑",IF(INDEX('Utrekning'!$I$2:$I$41,'Utrekning'!$D$27)&lt;INDEX('Utrekning'!$U$2:$U$41,'Utrekning'!$D$27)," ↓","")))))</f>
        <v/>
      </c>
      <c r="K34" s="39">
        <f>IF(OR($B34="",INDEX('Utrekning'!$J$2:$J$41,'Utrekning'!$D$27)=0),"",CHOOSE(INDEX('Utrekning'!$J$2:$J$41,'Utrekning'!$D$27),"●","▲","■")&amp;IF(INDEX('Utrekning'!$AH$2:$AH$41,'Utrekning'!$D$27)&gt;1," "&amp;INDEX('Utrekning'!$AH$2:$AH$41,'Utrekning'!$D$27),"")&amp;IF($C$6="","",IF(INDEX('Utrekning'!$V$2:$V$41,'Utrekning'!$D$27)=0," ✱",IF(INDEX('Utrekning'!$J$2:$J$41,'Utrekning'!$D$27)&gt;INDEX('Utrekning'!$V$2:$V$41,'Utrekning'!$D$27)," ↑",IF(INDEX('Utrekning'!$J$2:$J$41,'Utrekning'!$D$27)&lt;INDEX('Utrekning'!$V$2:$V$41,'Utrekning'!$D$27)," ↓","")))))</f>
        <v/>
      </c>
      <c r="L34" s="39">
        <f>IF(OR($B34="",INDEX('Utrekning'!$K$2:$K$41,'Utrekning'!$D$27)=0),"",CHOOSE(INDEX('Utrekning'!$K$2:$K$41,'Utrekning'!$D$27),"●","▲","■")&amp;IF(INDEX('Utrekning'!$AI$2:$AI$41,'Utrekning'!$D$27)&gt;1," "&amp;INDEX('Utrekning'!$AI$2:$AI$41,'Utrekning'!$D$27),"")&amp;IF($C$6="","",IF(INDEX('Utrekning'!$W$2:$W$41,'Utrekning'!$D$27)=0," ✱",IF(INDEX('Utrekning'!$K$2:$K$41,'Utrekning'!$D$27)&gt;INDEX('Utrekning'!$W$2:$W$41,'Utrekning'!$D$27)," ↑",IF(INDEX('Utrekning'!$K$2:$K$41,'Utrekning'!$D$27)&lt;INDEX('Utrekning'!$W$2:$W$41,'Utrekning'!$D$27)," ↓","")))))</f>
        <v/>
      </c>
      <c r="M34" s="39">
        <f>IF(OR($B34="",INDEX('Utrekning'!$L$2:$L$41,'Utrekning'!$D$27)=0),"",CHOOSE(INDEX('Utrekning'!$L$2:$L$41,'Utrekning'!$D$27),"●","▲","■")&amp;IF(INDEX('Utrekning'!$AJ$2:$AJ$41,'Utrekning'!$D$27)&gt;1," "&amp;INDEX('Utrekning'!$AJ$2:$AJ$41,'Utrekning'!$D$27),"")&amp;IF($C$6="","",IF(INDEX('Utrekning'!$X$2:$X$41,'Utrekning'!$D$27)=0," ✱",IF(INDEX('Utrekning'!$L$2:$L$41,'Utrekning'!$D$27)&gt;INDEX('Utrekning'!$X$2:$X$41,'Utrekning'!$D$27)," ↑",IF(INDEX('Utrekning'!$L$2:$L$41,'Utrekning'!$D$27)&lt;INDEX('Utrekning'!$X$2:$X$41,'Utrekning'!$D$27)," ↓","")))))</f>
        <v/>
      </c>
      <c r="N34" s="39">
        <f>IF(OR($B34="",INDEX('Utrekning'!$M$2:$M$41,'Utrekning'!$D$27)=0),"",CHOOSE(INDEX('Utrekning'!$M$2:$M$41,'Utrekning'!$D$27),"●","▲","■")&amp;IF(INDEX('Utrekning'!$AK$2:$AK$41,'Utrekning'!$D$27)&gt;1," "&amp;INDEX('Utrekning'!$AK$2:$AK$41,'Utrekning'!$D$27),"")&amp;IF($C$6="","",IF(INDEX('Utrekning'!$Y$2:$Y$41,'Utrekning'!$D$27)=0," ✱",IF(INDEX('Utrekning'!$M$2:$M$41,'Utrekning'!$D$27)&gt;INDEX('Utrekning'!$Y$2:$Y$41,'Utrekning'!$D$27)," ↑",IF(INDEX('Utrekning'!$M$2:$M$41,'Utrekning'!$D$27)&lt;INDEX('Utrekning'!$Y$2:$Y$41,'Utrekning'!$D$27)," ↓","")))))</f>
        <v/>
      </c>
      <c r="O34" s="39">
        <f>IF(OR($B34="",INDEX('Utrekning'!$N$2:$N$41,'Utrekning'!$D$27)=0),"",CHOOSE(INDEX('Utrekning'!$N$2:$N$41,'Utrekning'!$D$27),"●","▲","■")&amp;IF(INDEX('Utrekning'!$AL$2:$AL$41,'Utrekning'!$D$27)&gt;1," "&amp;INDEX('Utrekning'!$AL$2:$AL$41,'Utrekning'!$D$27),"")&amp;IF($C$6="","",IF(INDEX('Utrekning'!$Z$2:$Z$41,'Utrekning'!$D$27)=0," ✱",IF(INDEX('Utrekning'!$N$2:$N$41,'Utrekning'!$D$27)&gt;INDEX('Utrekning'!$Z$2:$Z$41,'Utrekning'!$D$27)," ↑",IF(INDEX('Utrekning'!$N$2:$N$41,'Utrekning'!$D$27)&lt;INDEX('Utrekning'!$Z$2:$Z$41,'Utrekning'!$D$27)," ↓","")))))</f>
        <v/>
      </c>
      <c r="P34" s="39">
        <f>IF(OR($B34="",INDEX('Utrekning'!$O$2:$O$41,'Utrekning'!$D$27)=0),"",CHOOSE(INDEX('Utrekning'!$O$2:$O$41,'Utrekning'!$D$27),"●","▲","■")&amp;IF(INDEX('Utrekning'!$AM$2:$AM$41,'Utrekning'!$D$27)&gt;1," "&amp;INDEX('Utrekning'!$AM$2:$AM$41,'Utrekning'!$D$27),"")&amp;IF($C$6="","",IF(INDEX('Utrekning'!$AA$2:$AA$41,'Utrekning'!$D$27)=0," ✱",IF(INDEX('Utrekning'!$O$2:$O$41,'Utrekning'!$D$27)&gt;INDEX('Utrekning'!$AA$2:$AA$41,'Utrekning'!$D$27)," ↑",IF(INDEX('Utrekning'!$O$2:$O$41,'Utrekning'!$D$27)&lt;INDEX('Utrekning'!$AA$2:$AA$41,'Utrekning'!$D$27)," ↓","")))))</f>
        <v/>
      </c>
      <c r="Q34" s="39">
        <f>IF(OR($B34="",INDEX('Utrekning'!$P$2:$P$41,'Utrekning'!$D$27)=0),"",CHOOSE(INDEX('Utrekning'!$P$2:$P$41,'Utrekning'!$D$27),"●","▲","■")&amp;IF(INDEX('Utrekning'!$AN$2:$AN$41,'Utrekning'!$D$27)&gt;1," "&amp;INDEX('Utrekning'!$AN$2:$AN$41,'Utrekning'!$D$27),"")&amp;IF($C$6="","",IF(INDEX('Utrekning'!$AB$2:$AB$41,'Utrekning'!$D$27)=0," ✱",IF(INDEX('Utrekning'!$P$2:$P$41,'Utrekning'!$D$27)&gt;INDEX('Utrekning'!$AB$2:$AB$41,'Utrekning'!$D$27)," ↑",IF(INDEX('Utrekning'!$P$2:$P$41,'Utrekning'!$D$27)&lt;INDEX('Utrekning'!$AB$2:$AB$41,'Utrekning'!$D$27)," ↓","")))))</f>
        <v/>
      </c>
    </row>
    <row r="35" ht="22" customHeight="1">
      <c r="B35" s="37">
        <f>IFERROR(INDEX('Utrekning'!$B$2:$B$41,'Utrekning'!$D$28),"")</f>
        <v/>
      </c>
      <c r="C35" s="38">
        <f>IF($B35="","",COUNTIF(INDEX('Utrekning'!$E$2:$P$41,'Utrekning'!$D$28,0),3))</f>
        <v/>
      </c>
      <c r="D35" s="38">
        <f>IF($B35="","",COUNTIF(INDEX('Utrekning'!$E$2:$P$41,'Utrekning'!$D$28,0),2))</f>
        <v/>
      </c>
      <c r="E35" s="38">
        <f>IF($B35="","",COUNTIFS('Tiltak'!$B$2:$B$251,$C$5,'Tiltak'!$C$2:$C$251,$B35,'Tiltak'!$E$2:$E$251,"&lt;&gt;",'Tiltak'!$H$2:$H$251,"&lt;&gt;Avslutta",'Tiltak'!$H$2:$H$251,"&lt;&gt;Avsluttet"))</f>
        <v/>
      </c>
      <c r="F35" s="39">
        <f>IF(OR($B35="",INDEX('Utrekning'!$E$2:$E$41,'Utrekning'!$D$28)=0),"",CHOOSE(INDEX('Utrekning'!$E$2:$E$41,'Utrekning'!$D$28),"●","▲","■")&amp;IF(INDEX('Utrekning'!$AC$2:$AC$41,'Utrekning'!$D$28)&gt;1," "&amp;INDEX('Utrekning'!$AC$2:$AC$41,'Utrekning'!$D$28),"")&amp;IF($C$6="","",IF(INDEX('Utrekning'!$Q$2:$Q$41,'Utrekning'!$D$28)=0," ✱",IF(INDEX('Utrekning'!$E$2:$E$41,'Utrekning'!$D$28)&gt;INDEX('Utrekning'!$Q$2:$Q$41,'Utrekning'!$D$28)," ↑",IF(INDEX('Utrekning'!$E$2:$E$41,'Utrekning'!$D$28)&lt;INDEX('Utrekning'!$Q$2:$Q$41,'Utrekning'!$D$28)," ↓","")))))</f>
        <v/>
      </c>
      <c r="G35" s="39">
        <f>IF(OR($B35="",INDEX('Utrekning'!$F$2:$F$41,'Utrekning'!$D$28)=0),"",CHOOSE(INDEX('Utrekning'!$F$2:$F$41,'Utrekning'!$D$28),"●","▲","■")&amp;IF(INDEX('Utrekning'!$AD$2:$AD$41,'Utrekning'!$D$28)&gt;1," "&amp;INDEX('Utrekning'!$AD$2:$AD$41,'Utrekning'!$D$28),"")&amp;IF($C$6="","",IF(INDEX('Utrekning'!$R$2:$R$41,'Utrekning'!$D$28)=0," ✱",IF(INDEX('Utrekning'!$F$2:$F$41,'Utrekning'!$D$28)&gt;INDEX('Utrekning'!$R$2:$R$41,'Utrekning'!$D$28)," ↑",IF(INDEX('Utrekning'!$F$2:$F$41,'Utrekning'!$D$28)&lt;INDEX('Utrekning'!$R$2:$R$41,'Utrekning'!$D$28)," ↓","")))))</f>
        <v/>
      </c>
      <c r="H35" s="39">
        <f>IF(OR($B35="",INDEX('Utrekning'!$G$2:$G$41,'Utrekning'!$D$28)=0),"",CHOOSE(INDEX('Utrekning'!$G$2:$G$41,'Utrekning'!$D$28),"●","▲","■")&amp;IF(INDEX('Utrekning'!$AE$2:$AE$41,'Utrekning'!$D$28)&gt;1," "&amp;INDEX('Utrekning'!$AE$2:$AE$41,'Utrekning'!$D$28),"")&amp;IF($C$6="","",IF(INDEX('Utrekning'!$S$2:$S$41,'Utrekning'!$D$28)=0," ✱",IF(INDEX('Utrekning'!$G$2:$G$41,'Utrekning'!$D$28)&gt;INDEX('Utrekning'!$S$2:$S$41,'Utrekning'!$D$28)," ↑",IF(INDEX('Utrekning'!$G$2:$G$41,'Utrekning'!$D$28)&lt;INDEX('Utrekning'!$S$2:$S$41,'Utrekning'!$D$28)," ↓","")))))</f>
        <v/>
      </c>
      <c r="I35" s="39">
        <f>IF(OR($B35="",INDEX('Utrekning'!$H$2:$H$41,'Utrekning'!$D$28)=0),"",CHOOSE(INDEX('Utrekning'!$H$2:$H$41,'Utrekning'!$D$28),"●","▲","■")&amp;IF(INDEX('Utrekning'!$AF$2:$AF$41,'Utrekning'!$D$28)&gt;1," "&amp;INDEX('Utrekning'!$AF$2:$AF$41,'Utrekning'!$D$28),"")&amp;IF($C$6="","",IF(INDEX('Utrekning'!$T$2:$T$41,'Utrekning'!$D$28)=0," ✱",IF(INDEX('Utrekning'!$H$2:$H$41,'Utrekning'!$D$28)&gt;INDEX('Utrekning'!$T$2:$T$41,'Utrekning'!$D$28)," ↑",IF(INDEX('Utrekning'!$H$2:$H$41,'Utrekning'!$D$28)&lt;INDEX('Utrekning'!$T$2:$T$41,'Utrekning'!$D$28)," ↓","")))))</f>
        <v/>
      </c>
      <c r="J35" s="39">
        <f>IF(OR($B35="",INDEX('Utrekning'!$I$2:$I$41,'Utrekning'!$D$28)=0),"",CHOOSE(INDEX('Utrekning'!$I$2:$I$41,'Utrekning'!$D$28),"●","▲","■")&amp;IF(INDEX('Utrekning'!$AG$2:$AG$41,'Utrekning'!$D$28)&gt;1," "&amp;INDEX('Utrekning'!$AG$2:$AG$41,'Utrekning'!$D$28),"")&amp;IF($C$6="","",IF(INDEX('Utrekning'!$U$2:$U$41,'Utrekning'!$D$28)=0," ✱",IF(INDEX('Utrekning'!$I$2:$I$41,'Utrekning'!$D$28)&gt;INDEX('Utrekning'!$U$2:$U$41,'Utrekning'!$D$28)," ↑",IF(INDEX('Utrekning'!$I$2:$I$41,'Utrekning'!$D$28)&lt;INDEX('Utrekning'!$U$2:$U$41,'Utrekning'!$D$28)," ↓","")))))</f>
        <v/>
      </c>
      <c r="K35" s="39">
        <f>IF(OR($B35="",INDEX('Utrekning'!$J$2:$J$41,'Utrekning'!$D$28)=0),"",CHOOSE(INDEX('Utrekning'!$J$2:$J$41,'Utrekning'!$D$28),"●","▲","■")&amp;IF(INDEX('Utrekning'!$AH$2:$AH$41,'Utrekning'!$D$28)&gt;1," "&amp;INDEX('Utrekning'!$AH$2:$AH$41,'Utrekning'!$D$28),"")&amp;IF($C$6="","",IF(INDEX('Utrekning'!$V$2:$V$41,'Utrekning'!$D$28)=0," ✱",IF(INDEX('Utrekning'!$J$2:$J$41,'Utrekning'!$D$28)&gt;INDEX('Utrekning'!$V$2:$V$41,'Utrekning'!$D$28)," ↑",IF(INDEX('Utrekning'!$J$2:$J$41,'Utrekning'!$D$28)&lt;INDEX('Utrekning'!$V$2:$V$41,'Utrekning'!$D$28)," ↓","")))))</f>
        <v/>
      </c>
      <c r="L35" s="39">
        <f>IF(OR($B35="",INDEX('Utrekning'!$K$2:$K$41,'Utrekning'!$D$28)=0),"",CHOOSE(INDEX('Utrekning'!$K$2:$K$41,'Utrekning'!$D$28),"●","▲","■")&amp;IF(INDEX('Utrekning'!$AI$2:$AI$41,'Utrekning'!$D$28)&gt;1," "&amp;INDEX('Utrekning'!$AI$2:$AI$41,'Utrekning'!$D$28),"")&amp;IF($C$6="","",IF(INDEX('Utrekning'!$W$2:$W$41,'Utrekning'!$D$28)=0," ✱",IF(INDEX('Utrekning'!$K$2:$K$41,'Utrekning'!$D$28)&gt;INDEX('Utrekning'!$W$2:$W$41,'Utrekning'!$D$28)," ↑",IF(INDEX('Utrekning'!$K$2:$K$41,'Utrekning'!$D$28)&lt;INDEX('Utrekning'!$W$2:$W$41,'Utrekning'!$D$28)," ↓","")))))</f>
        <v/>
      </c>
      <c r="M35" s="39">
        <f>IF(OR($B35="",INDEX('Utrekning'!$L$2:$L$41,'Utrekning'!$D$28)=0),"",CHOOSE(INDEX('Utrekning'!$L$2:$L$41,'Utrekning'!$D$28),"●","▲","■")&amp;IF(INDEX('Utrekning'!$AJ$2:$AJ$41,'Utrekning'!$D$28)&gt;1," "&amp;INDEX('Utrekning'!$AJ$2:$AJ$41,'Utrekning'!$D$28),"")&amp;IF($C$6="","",IF(INDEX('Utrekning'!$X$2:$X$41,'Utrekning'!$D$28)=0," ✱",IF(INDEX('Utrekning'!$L$2:$L$41,'Utrekning'!$D$28)&gt;INDEX('Utrekning'!$X$2:$X$41,'Utrekning'!$D$28)," ↑",IF(INDEX('Utrekning'!$L$2:$L$41,'Utrekning'!$D$28)&lt;INDEX('Utrekning'!$X$2:$X$41,'Utrekning'!$D$28)," ↓","")))))</f>
        <v/>
      </c>
      <c r="N35" s="39">
        <f>IF(OR($B35="",INDEX('Utrekning'!$M$2:$M$41,'Utrekning'!$D$28)=0),"",CHOOSE(INDEX('Utrekning'!$M$2:$M$41,'Utrekning'!$D$28),"●","▲","■")&amp;IF(INDEX('Utrekning'!$AK$2:$AK$41,'Utrekning'!$D$28)&gt;1," "&amp;INDEX('Utrekning'!$AK$2:$AK$41,'Utrekning'!$D$28),"")&amp;IF($C$6="","",IF(INDEX('Utrekning'!$Y$2:$Y$41,'Utrekning'!$D$28)=0," ✱",IF(INDEX('Utrekning'!$M$2:$M$41,'Utrekning'!$D$28)&gt;INDEX('Utrekning'!$Y$2:$Y$41,'Utrekning'!$D$28)," ↑",IF(INDEX('Utrekning'!$M$2:$M$41,'Utrekning'!$D$28)&lt;INDEX('Utrekning'!$Y$2:$Y$41,'Utrekning'!$D$28)," ↓","")))))</f>
        <v/>
      </c>
      <c r="O35" s="39">
        <f>IF(OR($B35="",INDEX('Utrekning'!$N$2:$N$41,'Utrekning'!$D$28)=0),"",CHOOSE(INDEX('Utrekning'!$N$2:$N$41,'Utrekning'!$D$28),"●","▲","■")&amp;IF(INDEX('Utrekning'!$AL$2:$AL$41,'Utrekning'!$D$28)&gt;1," "&amp;INDEX('Utrekning'!$AL$2:$AL$41,'Utrekning'!$D$28),"")&amp;IF($C$6="","",IF(INDEX('Utrekning'!$Z$2:$Z$41,'Utrekning'!$D$28)=0," ✱",IF(INDEX('Utrekning'!$N$2:$N$41,'Utrekning'!$D$28)&gt;INDEX('Utrekning'!$Z$2:$Z$41,'Utrekning'!$D$28)," ↑",IF(INDEX('Utrekning'!$N$2:$N$41,'Utrekning'!$D$28)&lt;INDEX('Utrekning'!$Z$2:$Z$41,'Utrekning'!$D$28)," ↓","")))))</f>
        <v/>
      </c>
      <c r="P35" s="39">
        <f>IF(OR($B35="",INDEX('Utrekning'!$O$2:$O$41,'Utrekning'!$D$28)=0),"",CHOOSE(INDEX('Utrekning'!$O$2:$O$41,'Utrekning'!$D$28),"●","▲","■")&amp;IF(INDEX('Utrekning'!$AM$2:$AM$41,'Utrekning'!$D$28)&gt;1," "&amp;INDEX('Utrekning'!$AM$2:$AM$41,'Utrekning'!$D$28),"")&amp;IF($C$6="","",IF(INDEX('Utrekning'!$AA$2:$AA$41,'Utrekning'!$D$28)=0," ✱",IF(INDEX('Utrekning'!$O$2:$O$41,'Utrekning'!$D$28)&gt;INDEX('Utrekning'!$AA$2:$AA$41,'Utrekning'!$D$28)," ↑",IF(INDEX('Utrekning'!$O$2:$O$41,'Utrekning'!$D$28)&lt;INDEX('Utrekning'!$AA$2:$AA$41,'Utrekning'!$D$28)," ↓","")))))</f>
        <v/>
      </c>
      <c r="Q35" s="39">
        <f>IF(OR($B35="",INDEX('Utrekning'!$P$2:$P$41,'Utrekning'!$D$28)=0),"",CHOOSE(INDEX('Utrekning'!$P$2:$P$41,'Utrekning'!$D$28),"●","▲","■")&amp;IF(INDEX('Utrekning'!$AN$2:$AN$41,'Utrekning'!$D$28)&gt;1," "&amp;INDEX('Utrekning'!$AN$2:$AN$41,'Utrekning'!$D$28),"")&amp;IF($C$6="","",IF(INDEX('Utrekning'!$AB$2:$AB$41,'Utrekning'!$D$28)=0," ✱",IF(INDEX('Utrekning'!$P$2:$P$41,'Utrekning'!$D$28)&gt;INDEX('Utrekning'!$AB$2:$AB$41,'Utrekning'!$D$28)," ↑",IF(INDEX('Utrekning'!$P$2:$P$41,'Utrekning'!$D$28)&lt;INDEX('Utrekning'!$AB$2:$AB$41,'Utrekning'!$D$28)," ↓","")))))</f>
        <v/>
      </c>
    </row>
    <row r="36" ht="22" customHeight="1">
      <c r="B36" s="37">
        <f>IFERROR(INDEX('Utrekning'!$B$2:$B$41,'Utrekning'!$D$29),"")</f>
        <v/>
      </c>
      <c r="C36" s="38">
        <f>IF($B36="","",COUNTIF(INDEX('Utrekning'!$E$2:$P$41,'Utrekning'!$D$29,0),3))</f>
        <v/>
      </c>
      <c r="D36" s="38">
        <f>IF($B36="","",COUNTIF(INDEX('Utrekning'!$E$2:$P$41,'Utrekning'!$D$29,0),2))</f>
        <v/>
      </c>
      <c r="E36" s="38">
        <f>IF($B36="","",COUNTIFS('Tiltak'!$B$2:$B$251,$C$5,'Tiltak'!$C$2:$C$251,$B36,'Tiltak'!$E$2:$E$251,"&lt;&gt;",'Tiltak'!$H$2:$H$251,"&lt;&gt;Avslutta",'Tiltak'!$H$2:$H$251,"&lt;&gt;Avsluttet"))</f>
        <v/>
      </c>
      <c r="F36" s="39">
        <f>IF(OR($B36="",INDEX('Utrekning'!$E$2:$E$41,'Utrekning'!$D$29)=0),"",CHOOSE(INDEX('Utrekning'!$E$2:$E$41,'Utrekning'!$D$29),"●","▲","■")&amp;IF(INDEX('Utrekning'!$AC$2:$AC$41,'Utrekning'!$D$29)&gt;1," "&amp;INDEX('Utrekning'!$AC$2:$AC$41,'Utrekning'!$D$29),"")&amp;IF($C$6="","",IF(INDEX('Utrekning'!$Q$2:$Q$41,'Utrekning'!$D$29)=0," ✱",IF(INDEX('Utrekning'!$E$2:$E$41,'Utrekning'!$D$29)&gt;INDEX('Utrekning'!$Q$2:$Q$41,'Utrekning'!$D$29)," ↑",IF(INDEX('Utrekning'!$E$2:$E$41,'Utrekning'!$D$29)&lt;INDEX('Utrekning'!$Q$2:$Q$41,'Utrekning'!$D$29)," ↓","")))))</f>
        <v/>
      </c>
      <c r="G36" s="39">
        <f>IF(OR($B36="",INDEX('Utrekning'!$F$2:$F$41,'Utrekning'!$D$29)=0),"",CHOOSE(INDEX('Utrekning'!$F$2:$F$41,'Utrekning'!$D$29),"●","▲","■")&amp;IF(INDEX('Utrekning'!$AD$2:$AD$41,'Utrekning'!$D$29)&gt;1," "&amp;INDEX('Utrekning'!$AD$2:$AD$41,'Utrekning'!$D$29),"")&amp;IF($C$6="","",IF(INDEX('Utrekning'!$R$2:$R$41,'Utrekning'!$D$29)=0," ✱",IF(INDEX('Utrekning'!$F$2:$F$41,'Utrekning'!$D$29)&gt;INDEX('Utrekning'!$R$2:$R$41,'Utrekning'!$D$29)," ↑",IF(INDEX('Utrekning'!$F$2:$F$41,'Utrekning'!$D$29)&lt;INDEX('Utrekning'!$R$2:$R$41,'Utrekning'!$D$29)," ↓","")))))</f>
        <v/>
      </c>
      <c r="H36" s="39">
        <f>IF(OR($B36="",INDEX('Utrekning'!$G$2:$G$41,'Utrekning'!$D$29)=0),"",CHOOSE(INDEX('Utrekning'!$G$2:$G$41,'Utrekning'!$D$29),"●","▲","■")&amp;IF(INDEX('Utrekning'!$AE$2:$AE$41,'Utrekning'!$D$29)&gt;1," "&amp;INDEX('Utrekning'!$AE$2:$AE$41,'Utrekning'!$D$29),"")&amp;IF($C$6="","",IF(INDEX('Utrekning'!$S$2:$S$41,'Utrekning'!$D$29)=0," ✱",IF(INDEX('Utrekning'!$G$2:$G$41,'Utrekning'!$D$29)&gt;INDEX('Utrekning'!$S$2:$S$41,'Utrekning'!$D$29)," ↑",IF(INDEX('Utrekning'!$G$2:$G$41,'Utrekning'!$D$29)&lt;INDEX('Utrekning'!$S$2:$S$41,'Utrekning'!$D$29)," ↓","")))))</f>
        <v/>
      </c>
      <c r="I36" s="39">
        <f>IF(OR($B36="",INDEX('Utrekning'!$H$2:$H$41,'Utrekning'!$D$29)=0),"",CHOOSE(INDEX('Utrekning'!$H$2:$H$41,'Utrekning'!$D$29),"●","▲","■")&amp;IF(INDEX('Utrekning'!$AF$2:$AF$41,'Utrekning'!$D$29)&gt;1," "&amp;INDEX('Utrekning'!$AF$2:$AF$41,'Utrekning'!$D$29),"")&amp;IF($C$6="","",IF(INDEX('Utrekning'!$T$2:$T$41,'Utrekning'!$D$29)=0," ✱",IF(INDEX('Utrekning'!$H$2:$H$41,'Utrekning'!$D$29)&gt;INDEX('Utrekning'!$T$2:$T$41,'Utrekning'!$D$29)," ↑",IF(INDEX('Utrekning'!$H$2:$H$41,'Utrekning'!$D$29)&lt;INDEX('Utrekning'!$T$2:$T$41,'Utrekning'!$D$29)," ↓","")))))</f>
        <v/>
      </c>
      <c r="J36" s="39">
        <f>IF(OR($B36="",INDEX('Utrekning'!$I$2:$I$41,'Utrekning'!$D$29)=0),"",CHOOSE(INDEX('Utrekning'!$I$2:$I$41,'Utrekning'!$D$29),"●","▲","■")&amp;IF(INDEX('Utrekning'!$AG$2:$AG$41,'Utrekning'!$D$29)&gt;1," "&amp;INDEX('Utrekning'!$AG$2:$AG$41,'Utrekning'!$D$29),"")&amp;IF($C$6="","",IF(INDEX('Utrekning'!$U$2:$U$41,'Utrekning'!$D$29)=0," ✱",IF(INDEX('Utrekning'!$I$2:$I$41,'Utrekning'!$D$29)&gt;INDEX('Utrekning'!$U$2:$U$41,'Utrekning'!$D$29)," ↑",IF(INDEX('Utrekning'!$I$2:$I$41,'Utrekning'!$D$29)&lt;INDEX('Utrekning'!$U$2:$U$41,'Utrekning'!$D$29)," ↓","")))))</f>
        <v/>
      </c>
      <c r="K36" s="39">
        <f>IF(OR($B36="",INDEX('Utrekning'!$J$2:$J$41,'Utrekning'!$D$29)=0),"",CHOOSE(INDEX('Utrekning'!$J$2:$J$41,'Utrekning'!$D$29),"●","▲","■")&amp;IF(INDEX('Utrekning'!$AH$2:$AH$41,'Utrekning'!$D$29)&gt;1," "&amp;INDEX('Utrekning'!$AH$2:$AH$41,'Utrekning'!$D$29),"")&amp;IF($C$6="","",IF(INDEX('Utrekning'!$V$2:$V$41,'Utrekning'!$D$29)=0," ✱",IF(INDEX('Utrekning'!$J$2:$J$41,'Utrekning'!$D$29)&gt;INDEX('Utrekning'!$V$2:$V$41,'Utrekning'!$D$29)," ↑",IF(INDEX('Utrekning'!$J$2:$J$41,'Utrekning'!$D$29)&lt;INDEX('Utrekning'!$V$2:$V$41,'Utrekning'!$D$29)," ↓","")))))</f>
        <v/>
      </c>
      <c r="L36" s="39">
        <f>IF(OR($B36="",INDEX('Utrekning'!$K$2:$K$41,'Utrekning'!$D$29)=0),"",CHOOSE(INDEX('Utrekning'!$K$2:$K$41,'Utrekning'!$D$29),"●","▲","■")&amp;IF(INDEX('Utrekning'!$AI$2:$AI$41,'Utrekning'!$D$29)&gt;1," "&amp;INDEX('Utrekning'!$AI$2:$AI$41,'Utrekning'!$D$29),"")&amp;IF($C$6="","",IF(INDEX('Utrekning'!$W$2:$W$41,'Utrekning'!$D$29)=0," ✱",IF(INDEX('Utrekning'!$K$2:$K$41,'Utrekning'!$D$29)&gt;INDEX('Utrekning'!$W$2:$W$41,'Utrekning'!$D$29)," ↑",IF(INDEX('Utrekning'!$K$2:$K$41,'Utrekning'!$D$29)&lt;INDEX('Utrekning'!$W$2:$W$41,'Utrekning'!$D$29)," ↓","")))))</f>
        <v/>
      </c>
      <c r="M36" s="39">
        <f>IF(OR($B36="",INDEX('Utrekning'!$L$2:$L$41,'Utrekning'!$D$29)=0),"",CHOOSE(INDEX('Utrekning'!$L$2:$L$41,'Utrekning'!$D$29),"●","▲","■")&amp;IF(INDEX('Utrekning'!$AJ$2:$AJ$41,'Utrekning'!$D$29)&gt;1," "&amp;INDEX('Utrekning'!$AJ$2:$AJ$41,'Utrekning'!$D$29),"")&amp;IF($C$6="","",IF(INDEX('Utrekning'!$X$2:$X$41,'Utrekning'!$D$29)=0," ✱",IF(INDEX('Utrekning'!$L$2:$L$41,'Utrekning'!$D$29)&gt;INDEX('Utrekning'!$X$2:$X$41,'Utrekning'!$D$29)," ↑",IF(INDEX('Utrekning'!$L$2:$L$41,'Utrekning'!$D$29)&lt;INDEX('Utrekning'!$X$2:$X$41,'Utrekning'!$D$29)," ↓","")))))</f>
        <v/>
      </c>
      <c r="N36" s="39">
        <f>IF(OR($B36="",INDEX('Utrekning'!$M$2:$M$41,'Utrekning'!$D$29)=0),"",CHOOSE(INDEX('Utrekning'!$M$2:$M$41,'Utrekning'!$D$29),"●","▲","■")&amp;IF(INDEX('Utrekning'!$AK$2:$AK$41,'Utrekning'!$D$29)&gt;1," "&amp;INDEX('Utrekning'!$AK$2:$AK$41,'Utrekning'!$D$29),"")&amp;IF($C$6="","",IF(INDEX('Utrekning'!$Y$2:$Y$41,'Utrekning'!$D$29)=0," ✱",IF(INDEX('Utrekning'!$M$2:$M$41,'Utrekning'!$D$29)&gt;INDEX('Utrekning'!$Y$2:$Y$41,'Utrekning'!$D$29)," ↑",IF(INDEX('Utrekning'!$M$2:$M$41,'Utrekning'!$D$29)&lt;INDEX('Utrekning'!$Y$2:$Y$41,'Utrekning'!$D$29)," ↓","")))))</f>
        <v/>
      </c>
      <c r="O36" s="39">
        <f>IF(OR($B36="",INDEX('Utrekning'!$N$2:$N$41,'Utrekning'!$D$29)=0),"",CHOOSE(INDEX('Utrekning'!$N$2:$N$41,'Utrekning'!$D$29),"●","▲","■")&amp;IF(INDEX('Utrekning'!$AL$2:$AL$41,'Utrekning'!$D$29)&gt;1," "&amp;INDEX('Utrekning'!$AL$2:$AL$41,'Utrekning'!$D$29),"")&amp;IF($C$6="","",IF(INDEX('Utrekning'!$Z$2:$Z$41,'Utrekning'!$D$29)=0," ✱",IF(INDEX('Utrekning'!$N$2:$N$41,'Utrekning'!$D$29)&gt;INDEX('Utrekning'!$Z$2:$Z$41,'Utrekning'!$D$29)," ↑",IF(INDEX('Utrekning'!$N$2:$N$41,'Utrekning'!$D$29)&lt;INDEX('Utrekning'!$Z$2:$Z$41,'Utrekning'!$D$29)," ↓","")))))</f>
        <v/>
      </c>
      <c r="P36" s="39">
        <f>IF(OR($B36="",INDEX('Utrekning'!$O$2:$O$41,'Utrekning'!$D$29)=0),"",CHOOSE(INDEX('Utrekning'!$O$2:$O$41,'Utrekning'!$D$29),"●","▲","■")&amp;IF(INDEX('Utrekning'!$AM$2:$AM$41,'Utrekning'!$D$29)&gt;1," "&amp;INDEX('Utrekning'!$AM$2:$AM$41,'Utrekning'!$D$29),"")&amp;IF($C$6="","",IF(INDEX('Utrekning'!$AA$2:$AA$41,'Utrekning'!$D$29)=0," ✱",IF(INDEX('Utrekning'!$O$2:$O$41,'Utrekning'!$D$29)&gt;INDEX('Utrekning'!$AA$2:$AA$41,'Utrekning'!$D$29)," ↑",IF(INDEX('Utrekning'!$O$2:$O$41,'Utrekning'!$D$29)&lt;INDEX('Utrekning'!$AA$2:$AA$41,'Utrekning'!$D$29)," ↓","")))))</f>
        <v/>
      </c>
      <c r="Q36" s="39">
        <f>IF(OR($B36="",INDEX('Utrekning'!$P$2:$P$41,'Utrekning'!$D$29)=0),"",CHOOSE(INDEX('Utrekning'!$P$2:$P$41,'Utrekning'!$D$29),"●","▲","■")&amp;IF(INDEX('Utrekning'!$AN$2:$AN$41,'Utrekning'!$D$29)&gt;1," "&amp;INDEX('Utrekning'!$AN$2:$AN$41,'Utrekning'!$D$29),"")&amp;IF($C$6="","",IF(INDEX('Utrekning'!$AB$2:$AB$41,'Utrekning'!$D$29)=0," ✱",IF(INDEX('Utrekning'!$P$2:$P$41,'Utrekning'!$D$29)&gt;INDEX('Utrekning'!$AB$2:$AB$41,'Utrekning'!$D$29)," ↑",IF(INDEX('Utrekning'!$P$2:$P$41,'Utrekning'!$D$29)&lt;INDEX('Utrekning'!$AB$2:$AB$41,'Utrekning'!$D$29)," ↓","")))))</f>
        <v/>
      </c>
    </row>
    <row r="37" ht="22" customHeight="1">
      <c r="B37" s="37">
        <f>IFERROR(INDEX('Utrekning'!$B$2:$B$41,'Utrekning'!$D$30),"")</f>
        <v/>
      </c>
      <c r="C37" s="38">
        <f>IF($B37="","",COUNTIF(INDEX('Utrekning'!$E$2:$P$41,'Utrekning'!$D$30,0),3))</f>
        <v/>
      </c>
      <c r="D37" s="38">
        <f>IF($B37="","",COUNTIF(INDEX('Utrekning'!$E$2:$P$41,'Utrekning'!$D$30,0),2))</f>
        <v/>
      </c>
      <c r="E37" s="38">
        <f>IF($B37="","",COUNTIFS('Tiltak'!$B$2:$B$251,$C$5,'Tiltak'!$C$2:$C$251,$B37,'Tiltak'!$E$2:$E$251,"&lt;&gt;",'Tiltak'!$H$2:$H$251,"&lt;&gt;Avslutta",'Tiltak'!$H$2:$H$251,"&lt;&gt;Avsluttet"))</f>
        <v/>
      </c>
      <c r="F37" s="39">
        <f>IF(OR($B37="",INDEX('Utrekning'!$E$2:$E$41,'Utrekning'!$D$30)=0),"",CHOOSE(INDEX('Utrekning'!$E$2:$E$41,'Utrekning'!$D$30),"●","▲","■")&amp;IF(INDEX('Utrekning'!$AC$2:$AC$41,'Utrekning'!$D$30)&gt;1," "&amp;INDEX('Utrekning'!$AC$2:$AC$41,'Utrekning'!$D$30),"")&amp;IF($C$6="","",IF(INDEX('Utrekning'!$Q$2:$Q$41,'Utrekning'!$D$30)=0," ✱",IF(INDEX('Utrekning'!$E$2:$E$41,'Utrekning'!$D$30)&gt;INDEX('Utrekning'!$Q$2:$Q$41,'Utrekning'!$D$30)," ↑",IF(INDEX('Utrekning'!$E$2:$E$41,'Utrekning'!$D$30)&lt;INDEX('Utrekning'!$Q$2:$Q$41,'Utrekning'!$D$30)," ↓","")))))</f>
        <v/>
      </c>
      <c r="G37" s="39">
        <f>IF(OR($B37="",INDEX('Utrekning'!$F$2:$F$41,'Utrekning'!$D$30)=0),"",CHOOSE(INDEX('Utrekning'!$F$2:$F$41,'Utrekning'!$D$30),"●","▲","■")&amp;IF(INDEX('Utrekning'!$AD$2:$AD$41,'Utrekning'!$D$30)&gt;1," "&amp;INDEX('Utrekning'!$AD$2:$AD$41,'Utrekning'!$D$30),"")&amp;IF($C$6="","",IF(INDEX('Utrekning'!$R$2:$R$41,'Utrekning'!$D$30)=0," ✱",IF(INDEX('Utrekning'!$F$2:$F$41,'Utrekning'!$D$30)&gt;INDEX('Utrekning'!$R$2:$R$41,'Utrekning'!$D$30)," ↑",IF(INDEX('Utrekning'!$F$2:$F$41,'Utrekning'!$D$30)&lt;INDEX('Utrekning'!$R$2:$R$41,'Utrekning'!$D$30)," ↓","")))))</f>
        <v/>
      </c>
      <c r="H37" s="39">
        <f>IF(OR($B37="",INDEX('Utrekning'!$G$2:$G$41,'Utrekning'!$D$30)=0),"",CHOOSE(INDEX('Utrekning'!$G$2:$G$41,'Utrekning'!$D$30),"●","▲","■")&amp;IF(INDEX('Utrekning'!$AE$2:$AE$41,'Utrekning'!$D$30)&gt;1," "&amp;INDEX('Utrekning'!$AE$2:$AE$41,'Utrekning'!$D$30),"")&amp;IF($C$6="","",IF(INDEX('Utrekning'!$S$2:$S$41,'Utrekning'!$D$30)=0," ✱",IF(INDEX('Utrekning'!$G$2:$G$41,'Utrekning'!$D$30)&gt;INDEX('Utrekning'!$S$2:$S$41,'Utrekning'!$D$30)," ↑",IF(INDEX('Utrekning'!$G$2:$G$41,'Utrekning'!$D$30)&lt;INDEX('Utrekning'!$S$2:$S$41,'Utrekning'!$D$30)," ↓","")))))</f>
        <v/>
      </c>
      <c r="I37" s="39">
        <f>IF(OR($B37="",INDEX('Utrekning'!$H$2:$H$41,'Utrekning'!$D$30)=0),"",CHOOSE(INDEX('Utrekning'!$H$2:$H$41,'Utrekning'!$D$30),"●","▲","■")&amp;IF(INDEX('Utrekning'!$AF$2:$AF$41,'Utrekning'!$D$30)&gt;1," "&amp;INDEX('Utrekning'!$AF$2:$AF$41,'Utrekning'!$D$30),"")&amp;IF($C$6="","",IF(INDEX('Utrekning'!$T$2:$T$41,'Utrekning'!$D$30)=0," ✱",IF(INDEX('Utrekning'!$H$2:$H$41,'Utrekning'!$D$30)&gt;INDEX('Utrekning'!$T$2:$T$41,'Utrekning'!$D$30)," ↑",IF(INDEX('Utrekning'!$H$2:$H$41,'Utrekning'!$D$30)&lt;INDEX('Utrekning'!$T$2:$T$41,'Utrekning'!$D$30)," ↓","")))))</f>
        <v/>
      </c>
      <c r="J37" s="39">
        <f>IF(OR($B37="",INDEX('Utrekning'!$I$2:$I$41,'Utrekning'!$D$30)=0),"",CHOOSE(INDEX('Utrekning'!$I$2:$I$41,'Utrekning'!$D$30),"●","▲","■")&amp;IF(INDEX('Utrekning'!$AG$2:$AG$41,'Utrekning'!$D$30)&gt;1," "&amp;INDEX('Utrekning'!$AG$2:$AG$41,'Utrekning'!$D$30),"")&amp;IF($C$6="","",IF(INDEX('Utrekning'!$U$2:$U$41,'Utrekning'!$D$30)=0," ✱",IF(INDEX('Utrekning'!$I$2:$I$41,'Utrekning'!$D$30)&gt;INDEX('Utrekning'!$U$2:$U$41,'Utrekning'!$D$30)," ↑",IF(INDEX('Utrekning'!$I$2:$I$41,'Utrekning'!$D$30)&lt;INDEX('Utrekning'!$U$2:$U$41,'Utrekning'!$D$30)," ↓","")))))</f>
        <v/>
      </c>
      <c r="K37" s="39">
        <f>IF(OR($B37="",INDEX('Utrekning'!$J$2:$J$41,'Utrekning'!$D$30)=0),"",CHOOSE(INDEX('Utrekning'!$J$2:$J$41,'Utrekning'!$D$30),"●","▲","■")&amp;IF(INDEX('Utrekning'!$AH$2:$AH$41,'Utrekning'!$D$30)&gt;1," "&amp;INDEX('Utrekning'!$AH$2:$AH$41,'Utrekning'!$D$30),"")&amp;IF($C$6="","",IF(INDEX('Utrekning'!$V$2:$V$41,'Utrekning'!$D$30)=0," ✱",IF(INDEX('Utrekning'!$J$2:$J$41,'Utrekning'!$D$30)&gt;INDEX('Utrekning'!$V$2:$V$41,'Utrekning'!$D$30)," ↑",IF(INDEX('Utrekning'!$J$2:$J$41,'Utrekning'!$D$30)&lt;INDEX('Utrekning'!$V$2:$V$41,'Utrekning'!$D$30)," ↓","")))))</f>
        <v/>
      </c>
      <c r="L37" s="39">
        <f>IF(OR($B37="",INDEX('Utrekning'!$K$2:$K$41,'Utrekning'!$D$30)=0),"",CHOOSE(INDEX('Utrekning'!$K$2:$K$41,'Utrekning'!$D$30),"●","▲","■")&amp;IF(INDEX('Utrekning'!$AI$2:$AI$41,'Utrekning'!$D$30)&gt;1," "&amp;INDEX('Utrekning'!$AI$2:$AI$41,'Utrekning'!$D$30),"")&amp;IF($C$6="","",IF(INDEX('Utrekning'!$W$2:$W$41,'Utrekning'!$D$30)=0," ✱",IF(INDEX('Utrekning'!$K$2:$K$41,'Utrekning'!$D$30)&gt;INDEX('Utrekning'!$W$2:$W$41,'Utrekning'!$D$30)," ↑",IF(INDEX('Utrekning'!$K$2:$K$41,'Utrekning'!$D$30)&lt;INDEX('Utrekning'!$W$2:$W$41,'Utrekning'!$D$30)," ↓","")))))</f>
        <v/>
      </c>
      <c r="M37" s="39">
        <f>IF(OR($B37="",INDEX('Utrekning'!$L$2:$L$41,'Utrekning'!$D$30)=0),"",CHOOSE(INDEX('Utrekning'!$L$2:$L$41,'Utrekning'!$D$30),"●","▲","■")&amp;IF(INDEX('Utrekning'!$AJ$2:$AJ$41,'Utrekning'!$D$30)&gt;1," "&amp;INDEX('Utrekning'!$AJ$2:$AJ$41,'Utrekning'!$D$30),"")&amp;IF($C$6="","",IF(INDEX('Utrekning'!$X$2:$X$41,'Utrekning'!$D$30)=0," ✱",IF(INDEX('Utrekning'!$L$2:$L$41,'Utrekning'!$D$30)&gt;INDEX('Utrekning'!$X$2:$X$41,'Utrekning'!$D$30)," ↑",IF(INDEX('Utrekning'!$L$2:$L$41,'Utrekning'!$D$30)&lt;INDEX('Utrekning'!$X$2:$X$41,'Utrekning'!$D$30)," ↓","")))))</f>
        <v/>
      </c>
      <c r="N37" s="39">
        <f>IF(OR($B37="",INDEX('Utrekning'!$M$2:$M$41,'Utrekning'!$D$30)=0),"",CHOOSE(INDEX('Utrekning'!$M$2:$M$41,'Utrekning'!$D$30),"●","▲","■")&amp;IF(INDEX('Utrekning'!$AK$2:$AK$41,'Utrekning'!$D$30)&gt;1," "&amp;INDEX('Utrekning'!$AK$2:$AK$41,'Utrekning'!$D$30),"")&amp;IF($C$6="","",IF(INDEX('Utrekning'!$Y$2:$Y$41,'Utrekning'!$D$30)=0," ✱",IF(INDEX('Utrekning'!$M$2:$M$41,'Utrekning'!$D$30)&gt;INDEX('Utrekning'!$Y$2:$Y$41,'Utrekning'!$D$30)," ↑",IF(INDEX('Utrekning'!$M$2:$M$41,'Utrekning'!$D$30)&lt;INDEX('Utrekning'!$Y$2:$Y$41,'Utrekning'!$D$30)," ↓","")))))</f>
        <v/>
      </c>
      <c r="O37" s="39">
        <f>IF(OR($B37="",INDEX('Utrekning'!$N$2:$N$41,'Utrekning'!$D$30)=0),"",CHOOSE(INDEX('Utrekning'!$N$2:$N$41,'Utrekning'!$D$30),"●","▲","■")&amp;IF(INDEX('Utrekning'!$AL$2:$AL$41,'Utrekning'!$D$30)&gt;1," "&amp;INDEX('Utrekning'!$AL$2:$AL$41,'Utrekning'!$D$30),"")&amp;IF($C$6="","",IF(INDEX('Utrekning'!$Z$2:$Z$41,'Utrekning'!$D$30)=0," ✱",IF(INDEX('Utrekning'!$N$2:$N$41,'Utrekning'!$D$30)&gt;INDEX('Utrekning'!$Z$2:$Z$41,'Utrekning'!$D$30)," ↑",IF(INDEX('Utrekning'!$N$2:$N$41,'Utrekning'!$D$30)&lt;INDEX('Utrekning'!$Z$2:$Z$41,'Utrekning'!$D$30)," ↓","")))))</f>
        <v/>
      </c>
      <c r="P37" s="39">
        <f>IF(OR($B37="",INDEX('Utrekning'!$O$2:$O$41,'Utrekning'!$D$30)=0),"",CHOOSE(INDEX('Utrekning'!$O$2:$O$41,'Utrekning'!$D$30),"●","▲","■")&amp;IF(INDEX('Utrekning'!$AM$2:$AM$41,'Utrekning'!$D$30)&gt;1," "&amp;INDEX('Utrekning'!$AM$2:$AM$41,'Utrekning'!$D$30),"")&amp;IF($C$6="","",IF(INDEX('Utrekning'!$AA$2:$AA$41,'Utrekning'!$D$30)=0," ✱",IF(INDEX('Utrekning'!$O$2:$O$41,'Utrekning'!$D$30)&gt;INDEX('Utrekning'!$AA$2:$AA$41,'Utrekning'!$D$30)," ↑",IF(INDEX('Utrekning'!$O$2:$O$41,'Utrekning'!$D$30)&lt;INDEX('Utrekning'!$AA$2:$AA$41,'Utrekning'!$D$30)," ↓","")))))</f>
        <v/>
      </c>
      <c r="Q37" s="39">
        <f>IF(OR($B37="",INDEX('Utrekning'!$P$2:$P$41,'Utrekning'!$D$30)=0),"",CHOOSE(INDEX('Utrekning'!$P$2:$P$41,'Utrekning'!$D$30),"●","▲","■")&amp;IF(INDEX('Utrekning'!$AN$2:$AN$41,'Utrekning'!$D$30)&gt;1," "&amp;INDEX('Utrekning'!$AN$2:$AN$41,'Utrekning'!$D$30),"")&amp;IF($C$6="","",IF(INDEX('Utrekning'!$AB$2:$AB$41,'Utrekning'!$D$30)=0," ✱",IF(INDEX('Utrekning'!$P$2:$P$41,'Utrekning'!$D$30)&gt;INDEX('Utrekning'!$AB$2:$AB$41,'Utrekning'!$D$30)," ↑",IF(INDEX('Utrekning'!$P$2:$P$41,'Utrekning'!$D$30)&lt;INDEX('Utrekning'!$AB$2:$AB$41,'Utrekning'!$D$30)," ↓","")))))</f>
        <v/>
      </c>
    </row>
    <row r="38" ht="22" customHeight="1">
      <c r="B38" s="37">
        <f>IFERROR(INDEX('Utrekning'!$B$2:$B$41,'Utrekning'!$D$31),"")</f>
        <v/>
      </c>
      <c r="C38" s="38">
        <f>IF($B38="","",COUNTIF(INDEX('Utrekning'!$E$2:$P$41,'Utrekning'!$D$31,0),3))</f>
        <v/>
      </c>
      <c r="D38" s="38">
        <f>IF($B38="","",COUNTIF(INDEX('Utrekning'!$E$2:$P$41,'Utrekning'!$D$31,0),2))</f>
        <v/>
      </c>
      <c r="E38" s="38">
        <f>IF($B38="","",COUNTIFS('Tiltak'!$B$2:$B$251,$C$5,'Tiltak'!$C$2:$C$251,$B38,'Tiltak'!$E$2:$E$251,"&lt;&gt;",'Tiltak'!$H$2:$H$251,"&lt;&gt;Avslutta",'Tiltak'!$H$2:$H$251,"&lt;&gt;Avsluttet"))</f>
        <v/>
      </c>
      <c r="F38" s="39">
        <f>IF(OR($B38="",INDEX('Utrekning'!$E$2:$E$41,'Utrekning'!$D$31)=0),"",CHOOSE(INDEX('Utrekning'!$E$2:$E$41,'Utrekning'!$D$31),"●","▲","■")&amp;IF(INDEX('Utrekning'!$AC$2:$AC$41,'Utrekning'!$D$31)&gt;1," "&amp;INDEX('Utrekning'!$AC$2:$AC$41,'Utrekning'!$D$31),"")&amp;IF($C$6="","",IF(INDEX('Utrekning'!$Q$2:$Q$41,'Utrekning'!$D$31)=0," ✱",IF(INDEX('Utrekning'!$E$2:$E$41,'Utrekning'!$D$31)&gt;INDEX('Utrekning'!$Q$2:$Q$41,'Utrekning'!$D$31)," ↑",IF(INDEX('Utrekning'!$E$2:$E$41,'Utrekning'!$D$31)&lt;INDEX('Utrekning'!$Q$2:$Q$41,'Utrekning'!$D$31)," ↓","")))))</f>
        <v/>
      </c>
      <c r="G38" s="39">
        <f>IF(OR($B38="",INDEX('Utrekning'!$F$2:$F$41,'Utrekning'!$D$31)=0),"",CHOOSE(INDEX('Utrekning'!$F$2:$F$41,'Utrekning'!$D$31),"●","▲","■")&amp;IF(INDEX('Utrekning'!$AD$2:$AD$41,'Utrekning'!$D$31)&gt;1," "&amp;INDEX('Utrekning'!$AD$2:$AD$41,'Utrekning'!$D$31),"")&amp;IF($C$6="","",IF(INDEX('Utrekning'!$R$2:$R$41,'Utrekning'!$D$31)=0," ✱",IF(INDEX('Utrekning'!$F$2:$F$41,'Utrekning'!$D$31)&gt;INDEX('Utrekning'!$R$2:$R$41,'Utrekning'!$D$31)," ↑",IF(INDEX('Utrekning'!$F$2:$F$41,'Utrekning'!$D$31)&lt;INDEX('Utrekning'!$R$2:$R$41,'Utrekning'!$D$31)," ↓","")))))</f>
        <v/>
      </c>
      <c r="H38" s="39">
        <f>IF(OR($B38="",INDEX('Utrekning'!$G$2:$G$41,'Utrekning'!$D$31)=0),"",CHOOSE(INDEX('Utrekning'!$G$2:$G$41,'Utrekning'!$D$31),"●","▲","■")&amp;IF(INDEX('Utrekning'!$AE$2:$AE$41,'Utrekning'!$D$31)&gt;1," "&amp;INDEX('Utrekning'!$AE$2:$AE$41,'Utrekning'!$D$31),"")&amp;IF($C$6="","",IF(INDEX('Utrekning'!$S$2:$S$41,'Utrekning'!$D$31)=0," ✱",IF(INDEX('Utrekning'!$G$2:$G$41,'Utrekning'!$D$31)&gt;INDEX('Utrekning'!$S$2:$S$41,'Utrekning'!$D$31)," ↑",IF(INDEX('Utrekning'!$G$2:$G$41,'Utrekning'!$D$31)&lt;INDEX('Utrekning'!$S$2:$S$41,'Utrekning'!$D$31)," ↓","")))))</f>
        <v/>
      </c>
      <c r="I38" s="39">
        <f>IF(OR($B38="",INDEX('Utrekning'!$H$2:$H$41,'Utrekning'!$D$31)=0),"",CHOOSE(INDEX('Utrekning'!$H$2:$H$41,'Utrekning'!$D$31),"●","▲","■")&amp;IF(INDEX('Utrekning'!$AF$2:$AF$41,'Utrekning'!$D$31)&gt;1," "&amp;INDEX('Utrekning'!$AF$2:$AF$41,'Utrekning'!$D$31),"")&amp;IF($C$6="","",IF(INDEX('Utrekning'!$T$2:$T$41,'Utrekning'!$D$31)=0," ✱",IF(INDEX('Utrekning'!$H$2:$H$41,'Utrekning'!$D$31)&gt;INDEX('Utrekning'!$T$2:$T$41,'Utrekning'!$D$31)," ↑",IF(INDEX('Utrekning'!$H$2:$H$41,'Utrekning'!$D$31)&lt;INDEX('Utrekning'!$T$2:$T$41,'Utrekning'!$D$31)," ↓","")))))</f>
        <v/>
      </c>
      <c r="J38" s="39">
        <f>IF(OR($B38="",INDEX('Utrekning'!$I$2:$I$41,'Utrekning'!$D$31)=0),"",CHOOSE(INDEX('Utrekning'!$I$2:$I$41,'Utrekning'!$D$31),"●","▲","■")&amp;IF(INDEX('Utrekning'!$AG$2:$AG$41,'Utrekning'!$D$31)&gt;1," "&amp;INDEX('Utrekning'!$AG$2:$AG$41,'Utrekning'!$D$31),"")&amp;IF($C$6="","",IF(INDEX('Utrekning'!$U$2:$U$41,'Utrekning'!$D$31)=0," ✱",IF(INDEX('Utrekning'!$I$2:$I$41,'Utrekning'!$D$31)&gt;INDEX('Utrekning'!$U$2:$U$41,'Utrekning'!$D$31)," ↑",IF(INDEX('Utrekning'!$I$2:$I$41,'Utrekning'!$D$31)&lt;INDEX('Utrekning'!$U$2:$U$41,'Utrekning'!$D$31)," ↓","")))))</f>
        <v/>
      </c>
      <c r="K38" s="39">
        <f>IF(OR($B38="",INDEX('Utrekning'!$J$2:$J$41,'Utrekning'!$D$31)=0),"",CHOOSE(INDEX('Utrekning'!$J$2:$J$41,'Utrekning'!$D$31),"●","▲","■")&amp;IF(INDEX('Utrekning'!$AH$2:$AH$41,'Utrekning'!$D$31)&gt;1," "&amp;INDEX('Utrekning'!$AH$2:$AH$41,'Utrekning'!$D$31),"")&amp;IF($C$6="","",IF(INDEX('Utrekning'!$V$2:$V$41,'Utrekning'!$D$31)=0," ✱",IF(INDEX('Utrekning'!$J$2:$J$41,'Utrekning'!$D$31)&gt;INDEX('Utrekning'!$V$2:$V$41,'Utrekning'!$D$31)," ↑",IF(INDEX('Utrekning'!$J$2:$J$41,'Utrekning'!$D$31)&lt;INDEX('Utrekning'!$V$2:$V$41,'Utrekning'!$D$31)," ↓","")))))</f>
        <v/>
      </c>
      <c r="L38" s="39">
        <f>IF(OR($B38="",INDEX('Utrekning'!$K$2:$K$41,'Utrekning'!$D$31)=0),"",CHOOSE(INDEX('Utrekning'!$K$2:$K$41,'Utrekning'!$D$31),"●","▲","■")&amp;IF(INDEX('Utrekning'!$AI$2:$AI$41,'Utrekning'!$D$31)&gt;1," "&amp;INDEX('Utrekning'!$AI$2:$AI$41,'Utrekning'!$D$31),"")&amp;IF($C$6="","",IF(INDEX('Utrekning'!$W$2:$W$41,'Utrekning'!$D$31)=0," ✱",IF(INDEX('Utrekning'!$K$2:$K$41,'Utrekning'!$D$31)&gt;INDEX('Utrekning'!$W$2:$W$41,'Utrekning'!$D$31)," ↑",IF(INDEX('Utrekning'!$K$2:$K$41,'Utrekning'!$D$31)&lt;INDEX('Utrekning'!$W$2:$W$41,'Utrekning'!$D$31)," ↓","")))))</f>
        <v/>
      </c>
      <c r="M38" s="39">
        <f>IF(OR($B38="",INDEX('Utrekning'!$L$2:$L$41,'Utrekning'!$D$31)=0),"",CHOOSE(INDEX('Utrekning'!$L$2:$L$41,'Utrekning'!$D$31),"●","▲","■")&amp;IF(INDEX('Utrekning'!$AJ$2:$AJ$41,'Utrekning'!$D$31)&gt;1," "&amp;INDEX('Utrekning'!$AJ$2:$AJ$41,'Utrekning'!$D$31),"")&amp;IF($C$6="","",IF(INDEX('Utrekning'!$X$2:$X$41,'Utrekning'!$D$31)=0," ✱",IF(INDEX('Utrekning'!$L$2:$L$41,'Utrekning'!$D$31)&gt;INDEX('Utrekning'!$X$2:$X$41,'Utrekning'!$D$31)," ↑",IF(INDEX('Utrekning'!$L$2:$L$41,'Utrekning'!$D$31)&lt;INDEX('Utrekning'!$X$2:$X$41,'Utrekning'!$D$31)," ↓","")))))</f>
        <v/>
      </c>
      <c r="N38" s="39">
        <f>IF(OR($B38="",INDEX('Utrekning'!$M$2:$M$41,'Utrekning'!$D$31)=0),"",CHOOSE(INDEX('Utrekning'!$M$2:$M$41,'Utrekning'!$D$31),"●","▲","■")&amp;IF(INDEX('Utrekning'!$AK$2:$AK$41,'Utrekning'!$D$31)&gt;1," "&amp;INDEX('Utrekning'!$AK$2:$AK$41,'Utrekning'!$D$31),"")&amp;IF($C$6="","",IF(INDEX('Utrekning'!$Y$2:$Y$41,'Utrekning'!$D$31)=0," ✱",IF(INDEX('Utrekning'!$M$2:$M$41,'Utrekning'!$D$31)&gt;INDEX('Utrekning'!$Y$2:$Y$41,'Utrekning'!$D$31)," ↑",IF(INDEX('Utrekning'!$M$2:$M$41,'Utrekning'!$D$31)&lt;INDEX('Utrekning'!$Y$2:$Y$41,'Utrekning'!$D$31)," ↓","")))))</f>
        <v/>
      </c>
      <c r="O38" s="39">
        <f>IF(OR($B38="",INDEX('Utrekning'!$N$2:$N$41,'Utrekning'!$D$31)=0),"",CHOOSE(INDEX('Utrekning'!$N$2:$N$41,'Utrekning'!$D$31),"●","▲","■")&amp;IF(INDEX('Utrekning'!$AL$2:$AL$41,'Utrekning'!$D$31)&gt;1," "&amp;INDEX('Utrekning'!$AL$2:$AL$41,'Utrekning'!$D$31),"")&amp;IF($C$6="","",IF(INDEX('Utrekning'!$Z$2:$Z$41,'Utrekning'!$D$31)=0," ✱",IF(INDEX('Utrekning'!$N$2:$N$41,'Utrekning'!$D$31)&gt;INDEX('Utrekning'!$Z$2:$Z$41,'Utrekning'!$D$31)," ↑",IF(INDEX('Utrekning'!$N$2:$N$41,'Utrekning'!$D$31)&lt;INDEX('Utrekning'!$Z$2:$Z$41,'Utrekning'!$D$31)," ↓","")))))</f>
        <v/>
      </c>
      <c r="P38" s="39">
        <f>IF(OR($B38="",INDEX('Utrekning'!$O$2:$O$41,'Utrekning'!$D$31)=0),"",CHOOSE(INDEX('Utrekning'!$O$2:$O$41,'Utrekning'!$D$31),"●","▲","■")&amp;IF(INDEX('Utrekning'!$AM$2:$AM$41,'Utrekning'!$D$31)&gt;1," "&amp;INDEX('Utrekning'!$AM$2:$AM$41,'Utrekning'!$D$31),"")&amp;IF($C$6="","",IF(INDEX('Utrekning'!$AA$2:$AA$41,'Utrekning'!$D$31)=0," ✱",IF(INDEX('Utrekning'!$O$2:$O$41,'Utrekning'!$D$31)&gt;INDEX('Utrekning'!$AA$2:$AA$41,'Utrekning'!$D$31)," ↑",IF(INDEX('Utrekning'!$O$2:$O$41,'Utrekning'!$D$31)&lt;INDEX('Utrekning'!$AA$2:$AA$41,'Utrekning'!$D$31)," ↓","")))))</f>
        <v/>
      </c>
      <c r="Q38" s="39">
        <f>IF(OR($B38="",INDEX('Utrekning'!$P$2:$P$41,'Utrekning'!$D$31)=0),"",CHOOSE(INDEX('Utrekning'!$P$2:$P$41,'Utrekning'!$D$31),"●","▲","■")&amp;IF(INDEX('Utrekning'!$AN$2:$AN$41,'Utrekning'!$D$31)&gt;1," "&amp;INDEX('Utrekning'!$AN$2:$AN$41,'Utrekning'!$D$31),"")&amp;IF($C$6="","",IF(INDEX('Utrekning'!$AB$2:$AB$41,'Utrekning'!$D$31)=0," ✱",IF(INDEX('Utrekning'!$P$2:$P$41,'Utrekning'!$D$31)&gt;INDEX('Utrekning'!$AB$2:$AB$41,'Utrekning'!$D$31)," ↑",IF(INDEX('Utrekning'!$P$2:$P$41,'Utrekning'!$D$31)&lt;INDEX('Utrekning'!$AB$2:$AB$41,'Utrekning'!$D$31)," ↓","")))))</f>
        <v/>
      </c>
    </row>
    <row r="39" ht="22" customHeight="1">
      <c r="B39" s="37">
        <f>IFERROR(INDEX('Utrekning'!$B$2:$B$41,'Utrekning'!$D$32),"")</f>
        <v/>
      </c>
      <c r="C39" s="38">
        <f>IF($B39="","",COUNTIF(INDEX('Utrekning'!$E$2:$P$41,'Utrekning'!$D$32,0),3))</f>
        <v/>
      </c>
      <c r="D39" s="38">
        <f>IF($B39="","",COUNTIF(INDEX('Utrekning'!$E$2:$P$41,'Utrekning'!$D$32,0),2))</f>
        <v/>
      </c>
      <c r="E39" s="38">
        <f>IF($B39="","",COUNTIFS('Tiltak'!$B$2:$B$251,$C$5,'Tiltak'!$C$2:$C$251,$B39,'Tiltak'!$E$2:$E$251,"&lt;&gt;",'Tiltak'!$H$2:$H$251,"&lt;&gt;Avslutta",'Tiltak'!$H$2:$H$251,"&lt;&gt;Avsluttet"))</f>
        <v/>
      </c>
      <c r="F39" s="39">
        <f>IF(OR($B39="",INDEX('Utrekning'!$E$2:$E$41,'Utrekning'!$D$32)=0),"",CHOOSE(INDEX('Utrekning'!$E$2:$E$41,'Utrekning'!$D$32),"●","▲","■")&amp;IF(INDEX('Utrekning'!$AC$2:$AC$41,'Utrekning'!$D$32)&gt;1," "&amp;INDEX('Utrekning'!$AC$2:$AC$41,'Utrekning'!$D$32),"")&amp;IF($C$6="","",IF(INDEX('Utrekning'!$Q$2:$Q$41,'Utrekning'!$D$32)=0," ✱",IF(INDEX('Utrekning'!$E$2:$E$41,'Utrekning'!$D$32)&gt;INDEX('Utrekning'!$Q$2:$Q$41,'Utrekning'!$D$32)," ↑",IF(INDEX('Utrekning'!$E$2:$E$41,'Utrekning'!$D$32)&lt;INDEX('Utrekning'!$Q$2:$Q$41,'Utrekning'!$D$32)," ↓","")))))</f>
        <v/>
      </c>
      <c r="G39" s="39">
        <f>IF(OR($B39="",INDEX('Utrekning'!$F$2:$F$41,'Utrekning'!$D$32)=0),"",CHOOSE(INDEX('Utrekning'!$F$2:$F$41,'Utrekning'!$D$32),"●","▲","■")&amp;IF(INDEX('Utrekning'!$AD$2:$AD$41,'Utrekning'!$D$32)&gt;1," "&amp;INDEX('Utrekning'!$AD$2:$AD$41,'Utrekning'!$D$32),"")&amp;IF($C$6="","",IF(INDEX('Utrekning'!$R$2:$R$41,'Utrekning'!$D$32)=0," ✱",IF(INDEX('Utrekning'!$F$2:$F$41,'Utrekning'!$D$32)&gt;INDEX('Utrekning'!$R$2:$R$41,'Utrekning'!$D$32)," ↑",IF(INDEX('Utrekning'!$F$2:$F$41,'Utrekning'!$D$32)&lt;INDEX('Utrekning'!$R$2:$R$41,'Utrekning'!$D$32)," ↓","")))))</f>
        <v/>
      </c>
      <c r="H39" s="39">
        <f>IF(OR($B39="",INDEX('Utrekning'!$G$2:$G$41,'Utrekning'!$D$32)=0),"",CHOOSE(INDEX('Utrekning'!$G$2:$G$41,'Utrekning'!$D$32),"●","▲","■")&amp;IF(INDEX('Utrekning'!$AE$2:$AE$41,'Utrekning'!$D$32)&gt;1," "&amp;INDEX('Utrekning'!$AE$2:$AE$41,'Utrekning'!$D$32),"")&amp;IF($C$6="","",IF(INDEX('Utrekning'!$S$2:$S$41,'Utrekning'!$D$32)=0," ✱",IF(INDEX('Utrekning'!$G$2:$G$41,'Utrekning'!$D$32)&gt;INDEX('Utrekning'!$S$2:$S$41,'Utrekning'!$D$32)," ↑",IF(INDEX('Utrekning'!$G$2:$G$41,'Utrekning'!$D$32)&lt;INDEX('Utrekning'!$S$2:$S$41,'Utrekning'!$D$32)," ↓","")))))</f>
        <v/>
      </c>
      <c r="I39" s="39">
        <f>IF(OR($B39="",INDEX('Utrekning'!$H$2:$H$41,'Utrekning'!$D$32)=0),"",CHOOSE(INDEX('Utrekning'!$H$2:$H$41,'Utrekning'!$D$32),"●","▲","■")&amp;IF(INDEX('Utrekning'!$AF$2:$AF$41,'Utrekning'!$D$32)&gt;1," "&amp;INDEX('Utrekning'!$AF$2:$AF$41,'Utrekning'!$D$32),"")&amp;IF($C$6="","",IF(INDEX('Utrekning'!$T$2:$T$41,'Utrekning'!$D$32)=0," ✱",IF(INDEX('Utrekning'!$H$2:$H$41,'Utrekning'!$D$32)&gt;INDEX('Utrekning'!$T$2:$T$41,'Utrekning'!$D$32)," ↑",IF(INDEX('Utrekning'!$H$2:$H$41,'Utrekning'!$D$32)&lt;INDEX('Utrekning'!$T$2:$T$41,'Utrekning'!$D$32)," ↓","")))))</f>
        <v/>
      </c>
      <c r="J39" s="39">
        <f>IF(OR($B39="",INDEX('Utrekning'!$I$2:$I$41,'Utrekning'!$D$32)=0),"",CHOOSE(INDEX('Utrekning'!$I$2:$I$41,'Utrekning'!$D$32),"●","▲","■")&amp;IF(INDEX('Utrekning'!$AG$2:$AG$41,'Utrekning'!$D$32)&gt;1," "&amp;INDEX('Utrekning'!$AG$2:$AG$41,'Utrekning'!$D$32),"")&amp;IF($C$6="","",IF(INDEX('Utrekning'!$U$2:$U$41,'Utrekning'!$D$32)=0," ✱",IF(INDEX('Utrekning'!$I$2:$I$41,'Utrekning'!$D$32)&gt;INDEX('Utrekning'!$U$2:$U$41,'Utrekning'!$D$32)," ↑",IF(INDEX('Utrekning'!$I$2:$I$41,'Utrekning'!$D$32)&lt;INDEX('Utrekning'!$U$2:$U$41,'Utrekning'!$D$32)," ↓","")))))</f>
        <v/>
      </c>
      <c r="K39" s="39">
        <f>IF(OR($B39="",INDEX('Utrekning'!$J$2:$J$41,'Utrekning'!$D$32)=0),"",CHOOSE(INDEX('Utrekning'!$J$2:$J$41,'Utrekning'!$D$32),"●","▲","■")&amp;IF(INDEX('Utrekning'!$AH$2:$AH$41,'Utrekning'!$D$32)&gt;1," "&amp;INDEX('Utrekning'!$AH$2:$AH$41,'Utrekning'!$D$32),"")&amp;IF($C$6="","",IF(INDEX('Utrekning'!$V$2:$V$41,'Utrekning'!$D$32)=0," ✱",IF(INDEX('Utrekning'!$J$2:$J$41,'Utrekning'!$D$32)&gt;INDEX('Utrekning'!$V$2:$V$41,'Utrekning'!$D$32)," ↑",IF(INDEX('Utrekning'!$J$2:$J$41,'Utrekning'!$D$32)&lt;INDEX('Utrekning'!$V$2:$V$41,'Utrekning'!$D$32)," ↓","")))))</f>
        <v/>
      </c>
      <c r="L39" s="39">
        <f>IF(OR($B39="",INDEX('Utrekning'!$K$2:$K$41,'Utrekning'!$D$32)=0),"",CHOOSE(INDEX('Utrekning'!$K$2:$K$41,'Utrekning'!$D$32),"●","▲","■")&amp;IF(INDEX('Utrekning'!$AI$2:$AI$41,'Utrekning'!$D$32)&gt;1," "&amp;INDEX('Utrekning'!$AI$2:$AI$41,'Utrekning'!$D$32),"")&amp;IF($C$6="","",IF(INDEX('Utrekning'!$W$2:$W$41,'Utrekning'!$D$32)=0," ✱",IF(INDEX('Utrekning'!$K$2:$K$41,'Utrekning'!$D$32)&gt;INDEX('Utrekning'!$W$2:$W$41,'Utrekning'!$D$32)," ↑",IF(INDEX('Utrekning'!$K$2:$K$41,'Utrekning'!$D$32)&lt;INDEX('Utrekning'!$W$2:$W$41,'Utrekning'!$D$32)," ↓","")))))</f>
        <v/>
      </c>
      <c r="M39" s="39">
        <f>IF(OR($B39="",INDEX('Utrekning'!$L$2:$L$41,'Utrekning'!$D$32)=0),"",CHOOSE(INDEX('Utrekning'!$L$2:$L$41,'Utrekning'!$D$32),"●","▲","■")&amp;IF(INDEX('Utrekning'!$AJ$2:$AJ$41,'Utrekning'!$D$32)&gt;1," "&amp;INDEX('Utrekning'!$AJ$2:$AJ$41,'Utrekning'!$D$32),"")&amp;IF($C$6="","",IF(INDEX('Utrekning'!$X$2:$X$41,'Utrekning'!$D$32)=0," ✱",IF(INDEX('Utrekning'!$L$2:$L$41,'Utrekning'!$D$32)&gt;INDEX('Utrekning'!$X$2:$X$41,'Utrekning'!$D$32)," ↑",IF(INDEX('Utrekning'!$L$2:$L$41,'Utrekning'!$D$32)&lt;INDEX('Utrekning'!$X$2:$X$41,'Utrekning'!$D$32)," ↓","")))))</f>
        <v/>
      </c>
      <c r="N39" s="39">
        <f>IF(OR($B39="",INDEX('Utrekning'!$M$2:$M$41,'Utrekning'!$D$32)=0),"",CHOOSE(INDEX('Utrekning'!$M$2:$M$41,'Utrekning'!$D$32),"●","▲","■")&amp;IF(INDEX('Utrekning'!$AK$2:$AK$41,'Utrekning'!$D$32)&gt;1," "&amp;INDEX('Utrekning'!$AK$2:$AK$41,'Utrekning'!$D$32),"")&amp;IF($C$6="","",IF(INDEX('Utrekning'!$Y$2:$Y$41,'Utrekning'!$D$32)=0," ✱",IF(INDEX('Utrekning'!$M$2:$M$41,'Utrekning'!$D$32)&gt;INDEX('Utrekning'!$Y$2:$Y$41,'Utrekning'!$D$32)," ↑",IF(INDEX('Utrekning'!$M$2:$M$41,'Utrekning'!$D$32)&lt;INDEX('Utrekning'!$Y$2:$Y$41,'Utrekning'!$D$32)," ↓","")))))</f>
        <v/>
      </c>
      <c r="O39" s="39">
        <f>IF(OR($B39="",INDEX('Utrekning'!$N$2:$N$41,'Utrekning'!$D$32)=0),"",CHOOSE(INDEX('Utrekning'!$N$2:$N$41,'Utrekning'!$D$32),"●","▲","■")&amp;IF(INDEX('Utrekning'!$AL$2:$AL$41,'Utrekning'!$D$32)&gt;1," "&amp;INDEX('Utrekning'!$AL$2:$AL$41,'Utrekning'!$D$32),"")&amp;IF($C$6="","",IF(INDEX('Utrekning'!$Z$2:$Z$41,'Utrekning'!$D$32)=0," ✱",IF(INDEX('Utrekning'!$N$2:$N$41,'Utrekning'!$D$32)&gt;INDEX('Utrekning'!$Z$2:$Z$41,'Utrekning'!$D$32)," ↑",IF(INDEX('Utrekning'!$N$2:$N$41,'Utrekning'!$D$32)&lt;INDEX('Utrekning'!$Z$2:$Z$41,'Utrekning'!$D$32)," ↓","")))))</f>
        <v/>
      </c>
      <c r="P39" s="39">
        <f>IF(OR($B39="",INDEX('Utrekning'!$O$2:$O$41,'Utrekning'!$D$32)=0),"",CHOOSE(INDEX('Utrekning'!$O$2:$O$41,'Utrekning'!$D$32),"●","▲","■")&amp;IF(INDEX('Utrekning'!$AM$2:$AM$41,'Utrekning'!$D$32)&gt;1," "&amp;INDEX('Utrekning'!$AM$2:$AM$41,'Utrekning'!$D$32),"")&amp;IF($C$6="","",IF(INDEX('Utrekning'!$AA$2:$AA$41,'Utrekning'!$D$32)=0," ✱",IF(INDEX('Utrekning'!$O$2:$O$41,'Utrekning'!$D$32)&gt;INDEX('Utrekning'!$AA$2:$AA$41,'Utrekning'!$D$32)," ↑",IF(INDEX('Utrekning'!$O$2:$O$41,'Utrekning'!$D$32)&lt;INDEX('Utrekning'!$AA$2:$AA$41,'Utrekning'!$D$32)," ↓","")))))</f>
        <v/>
      </c>
      <c r="Q39" s="39">
        <f>IF(OR($B39="",INDEX('Utrekning'!$P$2:$P$41,'Utrekning'!$D$32)=0),"",CHOOSE(INDEX('Utrekning'!$P$2:$P$41,'Utrekning'!$D$32),"●","▲","■")&amp;IF(INDEX('Utrekning'!$AN$2:$AN$41,'Utrekning'!$D$32)&gt;1," "&amp;INDEX('Utrekning'!$AN$2:$AN$41,'Utrekning'!$D$32),"")&amp;IF($C$6="","",IF(INDEX('Utrekning'!$AB$2:$AB$41,'Utrekning'!$D$32)=0," ✱",IF(INDEX('Utrekning'!$P$2:$P$41,'Utrekning'!$D$32)&gt;INDEX('Utrekning'!$AB$2:$AB$41,'Utrekning'!$D$32)," ↑",IF(INDEX('Utrekning'!$P$2:$P$41,'Utrekning'!$D$32)&lt;INDEX('Utrekning'!$AB$2:$AB$41,'Utrekning'!$D$32)," ↓","")))))</f>
        <v/>
      </c>
    </row>
    <row r="40" ht="22" customHeight="1">
      <c r="B40" s="37">
        <f>IFERROR(INDEX('Utrekning'!$B$2:$B$41,'Utrekning'!$D$33),"")</f>
        <v/>
      </c>
      <c r="C40" s="38">
        <f>IF($B40="","",COUNTIF(INDEX('Utrekning'!$E$2:$P$41,'Utrekning'!$D$33,0),3))</f>
        <v/>
      </c>
      <c r="D40" s="38">
        <f>IF($B40="","",COUNTIF(INDEX('Utrekning'!$E$2:$P$41,'Utrekning'!$D$33,0),2))</f>
        <v/>
      </c>
      <c r="E40" s="38">
        <f>IF($B40="","",COUNTIFS('Tiltak'!$B$2:$B$251,$C$5,'Tiltak'!$C$2:$C$251,$B40,'Tiltak'!$E$2:$E$251,"&lt;&gt;",'Tiltak'!$H$2:$H$251,"&lt;&gt;Avslutta",'Tiltak'!$H$2:$H$251,"&lt;&gt;Avsluttet"))</f>
        <v/>
      </c>
      <c r="F40" s="39">
        <f>IF(OR($B40="",INDEX('Utrekning'!$E$2:$E$41,'Utrekning'!$D$33)=0),"",CHOOSE(INDEX('Utrekning'!$E$2:$E$41,'Utrekning'!$D$33),"●","▲","■")&amp;IF(INDEX('Utrekning'!$AC$2:$AC$41,'Utrekning'!$D$33)&gt;1," "&amp;INDEX('Utrekning'!$AC$2:$AC$41,'Utrekning'!$D$33),"")&amp;IF($C$6="","",IF(INDEX('Utrekning'!$Q$2:$Q$41,'Utrekning'!$D$33)=0," ✱",IF(INDEX('Utrekning'!$E$2:$E$41,'Utrekning'!$D$33)&gt;INDEX('Utrekning'!$Q$2:$Q$41,'Utrekning'!$D$33)," ↑",IF(INDEX('Utrekning'!$E$2:$E$41,'Utrekning'!$D$33)&lt;INDEX('Utrekning'!$Q$2:$Q$41,'Utrekning'!$D$33)," ↓","")))))</f>
        <v/>
      </c>
      <c r="G40" s="39">
        <f>IF(OR($B40="",INDEX('Utrekning'!$F$2:$F$41,'Utrekning'!$D$33)=0),"",CHOOSE(INDEX('Utrekning'!$F$2:$F$41,'Utrekning'!$D$33),"●","▲","■")&amp;IF(INDEX('Utrekning'!$AD$2:$AD$41,'Utrekning'!$D$33)&gt;1," "&amp;INDEX('Utrekning'!$AD$2:$AD$41,'Utrekning'!$D$33),"")&amp;IF($C$6="","",IF(INDEX('Utrekning'!$R$2:$R$41,'Utrekning'!$D$33)=0," ✱",IF(INDEX('Utrekning'!$F$2:$F$41,'Utrekning'!$D$33)&gt;INDEX('Utrekning'!$R$2:$R$41,'Utrekning'!$D$33)," ↑",IF(INDEX('Utrekning'!$F$2:$F$41,'Utrekning'!$D$33)&lt;INDEX('Utrekning'!$R$2:$R$41,'Utrekning'!$D$33)," ↓","")))))</f>
        <v/>
      </c>
      <c r="H40" s="39">
        <f>IF(OR($B40="",INDEX('Utrekning'!$G$2:$G$41,'Utrekning'!$D$33)=0),"",CHOOSE(INDEX('Utrekning'!$G$2:$G$41,'Utrekning'!$D$33),"●","▲","■")&amp;IF(INDEX('Utrekning'!$AE$2:$AE$41,'Utrekning'!$D$33)&gt;1," "&amp;INDEX('Utrekning'!$AE$2:$AE$41,'Utrekning'!$D$33),"")&amp;IF($C$6="","",IF(INDEX('Utrekning'!$S$2:$S$41,'Utrekning'!$D$33)=0," ✱",IF(INDEX('Utrekning'!$G$2:$G$41,'Utrekning'!$D$33)&gt;INDEX('Utrekning'!$S$2:$S$41,'Utrekning'!$D$33)," ↑",IF(INDEX('Utrekning'!$G$2:$G$41,'Utrekning'!$D$33)&lt;INDEX('Utrekning'!$S$2:$S$41,'Utrekning'!$D$33)," ↓","")))))</f>
        <v/>
      </c>
      <c r="I40" s="39">
        <f>IF(OR($B40="",INDEX('Utrekning'!$H$2:$H$41,'Utrekning'!$D$33)=0),"",CHOOSE(INDEX('Utrekning'!$H$2:$H$41,'Utrekning'!$D$33),"●","▲","■")&amp;IF(INDEX('Utrekning'!$AF$2:$AF$41,'Utrekning'!$D$33)&gt;1," "&amp;INDEX('Utrekning'!$AF$2:$AF$41,'Utrekning'!$D$33),"")&amp;IF($C$6="","",IF(INDEX('Utrekning'!$T$2:$T$41,'Utrekning'!$D$33)=0," ✱",IF(INDEX('Utrekning'!$H$2:$H$41,'Utrekning'!$D$33)&gt;INDEX('Utrekning'!$T$2:$T$41,'Utrekning'!$D$33)," ↑",IF(INDEX('Utrekning'!$H$2:$H$41,'Utrekning'!$D$33)&lt;INDEX('Utrekning'!$T$2:$T$41,'Utrekning'!$D$33)," ↓","")))))</f>
        <v/>
      </c>
      <c r="J40" s="39">
        <f>IF(OR($B40="",INDEX('Utrekning'!$I$2:$I$41,'Utrekning'!$D$33)=0),"",CHOOSE(INDEX('Utrekning'!$I$2:$I$41,'Utrekning'!$D$33),"●","▲","■")&amp;IF(INDEX('Utrekning'!$AG$2:$AG$41,'Utrekning'!$D$33)&gt;1," "&amp;INDEX('Utrekning'!$AG$2:$AG$41,'Utrekning'!$D$33),"")&amp;IF($C$6="","",IF(INDEX('Utrekning'!$U$2:$U$41,'Utrekning'!$D$33)=0," ✱",IF(INDEX('Utrekning'!$I$2:$I$41,'Utrekning'!$D$33)&gt;INDEX('Utrekning'!$U$2:$U$41,'Utrekning'!$D$33)," ↑",IF(INDEX('Utrekning'!$I$2:$I$41,'Utrekning'!$D$33)&lt;INDEX('Utrekning'!$U$2:$U$41,'Utrekning'!$D$33)," ↓","")))))</f>
        <v/>
      </c>
      <c r="K40" s="39">
        <f>IF(OR($B40="",INDEX('Utrekning'!$J$2:$J$41,'Utrekning'!$D$33)=0),"",CHOOSE(INDEX('Utrekning'!$J$2:$J$41,'Utrekning'!$D$33),"●","▲","■")&amp;IF(INDEX('Utrekning'!$AH$2:$AH$41,'Utrekning'!$D$33)&gt;1," "&amp;INDEX('Utrekning'!$AH$2:$AH$41,'Utrekning'!$D$33),"")&amp;IF($C$6="","",IF(INDEX('Utrekning'!$V$2:$V$41,'Utrekning'!$D$33)=0," ✱",IF(INDEX('Utrekning'!$J$2:$J$41,'Utrekning'!$D$33)&gt;INDEX('Utrekning'!$V$2:$V$41,'Utrekning'!$D$33)," ↑",IF(INDEX('Utrekning'!$J$2:$J$41,'Utrekning'!$D$33)&lt;INDEX('Utrekning'!$V$2:$V$41,'Utrekning'!$D$33)," ↓","")))))</f>
        <v/>
      </c>
      <c r="L40" s="39">
        <f>IF(OR($B40="",INDEX('Utrekning'!$K$2:$K$41,'Utrekning'!$D$33)=0),"",CHOOSE(INDEX('Utrekning'!$K$2:$K$41,'Utrekning'!$D$33),"●","▲","■")&amp;IF(INDEX('Utrekning'!$AI$2:$AI$41,'Utrekning'!$D$33)&gt;1," "&amp;INDEX('Utrekning'!$AI$2:$AI$41,'Utrekning'!$D$33),"")&amp;IF($C$6="","",IF(INDEX('Utrekning'!$W$2:$W$41,'Utrekning'!$D$33)=0," ✱",IF(INDEX('Utrekning'!$K$2:$K$41,'Utrekning'!$D$33)&gt;INDEX('Utrekning'!$W$2:$W$41,'Utrekning'!$D$33)," ↑",IF(INDEX('Utrekning'!$K$2:$K$41,'Utrekning'!$D$33)&lt;INDEX('Utrekning'!$W$2:$W$41,'Utrekning'!$D$33)," ↓","")))))</f>
        <v/>
      </c>
      <c r="M40" s="39">
        <f>IF(OR($B40="",INDEX('Utrekning'!$L$2:$L$41,'Utrekning'!$D$33)=0),"",CHOOSE(INDEX('Utrekning'!$L$2:$L$41,'Utrekning'!$D$33),"●","▲","■")&amp;IF(INDEX('Utrekning'!$AJ$2:$AJ$41,'Utrekning'!$D$33)&gt;1," "&amp;INDEX('Utrekning'!$AJ$2:$AJ$41,'Utrekning'!$D$33),"")&amp;IF($C$6="","",IF(INDEX('Utrekning'!$X$2:$X$41,'Utrekning'!$D$33)=0," ✱",IF(INDEX('Utrekning'!$L$2:$L$41,'Utrekning'!$D$33)&gt;INDEX('Utrekning'!$X$2:$X$41,'Utrekning'!$D$33)," ↑",IF(INDEX('Utrekning'!$L$2:$L$41,'Utrekning'!$D$33)&lt;INDEX('Utrekning'!$X$2:$X$41,'Utrekning'!$D$33)," ↓","")))))</f>
        <v/>
      </c>
      <c r="N40" s="39">
        <f>IF(OR($B40="",INDEX('Utrekning'!$M$2:$M$41,'Utrekning'!$D$33)=0),"",CHOOSE(INDEX('Utrekning'!$M$2:$M$41,'Utrekning'!$D$33),"●","▲","■")&amp;IF(INDEX('Utrekning'!$AK$2:$AK$41,'Utrekning'!$D$33)&gt;1," "&amp;INDEX('Utrekning'!$AK$2:$AK$41,'Utrekning'!$D$33),"")&amp;IF($C$6="","",IF(INDEX('Utrekning'!$Y$2:$Y$41,'Utrekning'!$D$33)=0," ✱",IF(INDEX('Utrekning'!$M$2:$M$41,'Utrekning'!$D$33)&gt;INDEX('Utrekning'!$Y$2:$Y$41,'Utrekning'!$D$33)," ↑",IF(INDEX('Utrekning'!$M$2:$M$41,'Utrekning'!$D$33)&lt;INDEX('Utrekning'!$Y$2:$Y$41,'Utrekning'!$D$33)," ↓","")))))</f>
        <v/>
      </c>
      <c r="O40" s="39">
        <f>IF(OR($B40="",INDEX('Utrekning'!$N$2:$N$41,'Utrekning'!$D$33)=0),"",CHOOSE(INDEX('Utrekning'!$N$2:$N$41,'Utrekning'!$D$33),"●","▲","■")&amp;IF(INDEX('Utrekning'!$AL$2:$AL$41,'Utrekning'!$D$33)&gt;1," "&amp;INDEX('Utrekning'!$AL$2:$AL$41,'Utrekning'!$D$33),"")&amp;IF($C$6="","",IF(INDEX('Utrekning'!$Z$2:$Z$41,'Utrekning'!$D$33)=0," ✱",IF(INDEX('Utrekning'!$N$2:$N$41,'Utrekning'!$D$33)&gt;INDEX('Utrekning'!$Z$2:$Z$41,'Utrekning'!$D$33)," ↑",IF(INDEX('Utrekning'!$N$2:$N$41,'Utrekning'!$D$33)&lt;INDEX('Utrekning'!$Z$2:$Z$41,'Utrekning'!$D$33)," ↓","")))))</f>
        <v/>
      </c>
      <c r="P40" s="39">
        <f>IF(OR($B40="",INDEX('Utrekning'!$O$2:$O$41,'Utrekning'!$D$33)=0),"",CHOOSE(INDEX('Utrekning'!$O$2:$O$41,'Utrekning'!$D$33),"●","▲","■")&amp;IF(INDEX('Utrekning'!$AM$2:$AM$41,'Utrekning'!$D$33)&gt;1," "&amp;INDEX('Utrekning'!$AM$2:$AM$41,'Utrekning'!$D$33),"")&amp;IF($C$6="","",IF(INDEX('Utrekning'!$AA$2:$AA$41,'Utrekning'!$D$33)=0," ✱",IF(INDEX('Utrekning'!$O$2:$O$41,'Utrekning'!$D$33)&gt;INDEX('Utrekning'!$AA$2:$AA$41,'Utrekning'!$D$33)," ↑",IF(INDEX('Utrekning'!$O$2:$O$41,'Utrekning'!$D$33)&lt;INDEX('Utrekning'!$AA$2:$AA$41,'Utrekning'!$D$33)," ↓","")))))</f>
        <v/>
      </c>
      <c r="Q40" s="39">
        <f>IF(OR($B40="",INDEX('Utrekning'!$P$2:$P$41,'Utrekning'!$D$33)=0),"",CHOOSE(INDEX('Utrekning'!$P$2:$P$41,'Utrekning'!$D$33),"●","▲","■")&amp;IF(INDEX('Utrekning'!$AN$2:$AN$41,'Utrekning'!$D$33)&gt;1," "&amp;INDEX('Utrekning'!$AN$2:$AN$41,'Utrekning'!$D$33),"")&amp;IF($C$6="","",IF(INDEX('Utrekning'!$AB$2:$AB$41,'Utrekning'!$D$33)=0," ✱",IF(INDEX('Utrekning'!$P$2:$P$41,'Utrekning'!$D$33)&gt;INDEX('Utrekning'!$AB$2:$AB$41,'Utrekning'!$D$33)," ↑",IF(INDEX('Utrekning'!$P$2:$P$41,'Utrekning'!$D$33)&lt;INDEX('Utrekning'!$AB$2:$AB$41,'Utrekning'!$D$33)," ↓","")))))</f>
        <v/>
      </c>
    </row>
    <row r="41" ht="22" customHeight="1">
      <c r="B41" s="37">
        <f>IFERROR(INDEX('Utrekning'!$B$2:$B$41,'Utrekning'!$D$34),"")</f>
        <v/>
      </c>
      <c r="C41" s="38">
        <f>IF($B41="","",COUNTIF(INDEX('Utrekning'!$E$2:$P$41,'Utrekning'!$D$34,0),3))</f>
        <v/>
      </c>
      <c r="D41" s="38">
        <f>IF($B41="","",COUNTIF(INDEX('Utrekning'!$E$2:$P$41,'Utrekning'!$D$34,0),2))</f>
        <v/>
      </c>
      <c r="E41" s="38">
        <f>IF($B41="","",COUNTIFS('Tiltak'!$B$2:$B$251,$C$5,'Tiltak'!$C$2:$C$251,$B41,'Tiltak'!$E$2:$E$251,"&lt;&gt;",'Tiltak'!$H$2:$H$251,"&lt;&gt;Avslutta",'Tiltak'!$H$2:$H$251,"&lt;&gt;Avsluttet"))</f>
        <v/>
      </c>
      <c r="F41" s="39">
        <f>IF(OR($B41="",INDEX('Utrekning'!$E$2:$E$41,'Utrekning'!$D$34)=0),"",CHOOSE(INDEX('Utrekning'!$E$2:$E$41,'Utrekning'!$D$34),"●","▲","■")&amp;IF(INDEX('Utrekning'!$AC$2:$AC$41,'Utrekning'!$D$34)&gt;1," "&amp;INDEX('Utrekning'!$AC$2:$AC$41,'Utrekning'!$D$34),"")&amp;IF($C$6="","",IF(INDEX('Utrekning'!$Q$2:$Q$41,'Utrekning'!$D$34)=0," ✱",IF(INDEX('Utrekning'!$E$2:$E$41,'Utrekning'!$D$34)&gt;INDEX('Utrekning'!$Q$2:$Q$41,'Utrekning'!$D$34)," ↑",IF(INDEX('Utrekning'!$E$2:$E$41,'Utrekning'!$D$34)&lt;INDEX('Utrekning'!$Q$2:$Q$41,'Utrekning'!$D$34)," ↓","")))))</f>
        <v/>
      </c>
      <c r="G41" s="39">
        <f>IF(OR($B41="",INDEX('Utrekning'!$F$2:$F$41,'Utrekning'!$D$34)=0),"",CHOOSE(INDEX('Utrekning'!$F$2:$F$41,'Utrekning'!$D$34),"●","▲","■")&amp;IF(INDEX('Utrekning'!$AD$2:$AD$41,'Utrekning'!$D$34)&gt;1," "&amp;INDEX('Utrekning'!$AD$2:$AD$41,'Utrekning'!$D$34),"")&amp;IF($C$6="","",IF(INDEX('Utrekning'!$R$2:$R$41,'Utrekning'!$D$34)=0," ✱",IF(INDEX('Utrekning'!$F$2:$F$41,'Utrekning'!$D$34)&gt;INDEX('Utrekning'!$R$2:$R$41,'Utrekning'!$D$34)," ↑",IF(INDEX('Utrekning'!$F$2:$F$41,'Utrekning'!$D$34)&lt;INDEX('Utrekning'!$R$2:$R$41,'Utrekning'!$D$34)," ↓","")))))</f>
        <v/>
      </c>
      <c r="H41" s="39">
        <f>IF(OR($B41="",INDEX('Utrekning'!$G$2:$G$41,'Utrekning'!$D$34)=0),"",CHOOSE(INDEX('Utrekning'!$G$2:$G$41,'Utrekning'!$D$34),"●","▲","■")&amp;IF(INDEX('Utrekning'!$AE$2:$AE$41,'Utrekning'!$D$34)&gt;1," "&amp;INDEX('Utrekning'!$AE$2:$AE$41,'Utrekning'!$D$34),"")&amp;IF($C$6="","",IF(INDEX('Utrekning'!$S$2:$S$41,'Utrekning'!$D$34)=0," ✱",IF(INDEX('Utrekning'!$G$2:$G$41,'Utrekning'!$D$34)&gt;INDEX('Utrekning'!$S$2:$S$41,'Utrekning'!$D$34)," ↑",IF(INDEX('Utrekning'!$G$2:$G$41,'Utrekning'!$D$34)&lt;INDEX('Utrekning'!$S$2:$S$41,'Utrekning'!$D$34)," ↓","")))))</f>
        <v/>
      </c>
      <c r="I41" s="39">
        <f>IF(OR($B41="",INDEX('Utrekning'!$H$2:$H$41,'Utrekning'!$D$34)=0),"",CHOOSE(INDEX('Utrekning'!$H$2:$H$41,'Utrekning'!$D$34),"●","▲","■")&amp;IF(INDEX('Utrekning'!$AF$2:$AF$41,'Utrekning'!$D$34)&gt;1," "&amp;INDEX('Utrekning'!$AF$2:$AF$41,'Utrekning'!$D$34),"")&amp;IF($C$6="","",IF(INDEX('Utrekning'!$T$2:$T$41,'Utrekning'!$D$34)=0," ✱",IF(INDEX('Utrekning'!$H$2:$H$41,'Utrekning'!$D$34)&gt;INDEX('Utrekning'!$T$2:$T$41,'Utrekning'!$D$34)," ↑",IF(INDEX('Utrekning'!$H$2:$H$41,'Utrekning'!$D$34)&lt;INDEX('Utrekning'!$T$2:$T$41,'Utrekning'!$D$34)," ↓","")))))</f>
        <v/>
      </c>
      <c r="J41" s="39">
        <f>IF(OR($B41="",INDEX('Utrekning'!$I$2:$I$41,'Utrekning'!$D$34)=0),"",CHOOSE(INDEX('Utrekning'!$I$2:$I$41,'Utrekning'!$D$34),"●","▲","■")&amp;IF(INDEX('Utrekning'!$AG$2:$AG$41,'Utrekning'!$D$34)&gt;1," "&amp;INDEX('Utrekning'!$AG$2:$AG$41,'Utrekning'!$D$34),"")&amp;IF($C$6="","",IF(INDEX('Utrekning'!$U$2:$U$41,'Utrekning'!$D$34)=0," ✱",IF(INDEX('Utrekning'!$I$2:$I$41,'Utrekning'!$D$34)&gt;INDEX('Utrekning'!$U$2:$U$41,'Utrekning'!$D$34)," ↑",IF(INDEX('Utrekning'!$I$2:$I$41,'Utrekning'!$D$34)&lt;INDEX('Utrekning'!$U$2:$U$41,'Utrekning'!$D$34)," ↓","")))))</f>
        <v/>
      </c>
      <c r="K41" s="39">
        <f>IF(OR($B41="",INDEX('Utrekning'!$J$2:$J$41,'Utrekning'!$D$34)=0),"",CHOOSE(INDEX('Utrekning'!$J$2:$J$41,'Utrekning'!$D$34),"●","▲","■")&amp;IF(INDEX('Utrekning'!$AH$2:$AH$41,'Utrekning'!$D$34)&gt;1," "&amp;INDEX('Utrekning'!$AH$2:$AH$41,'Utrekning'!$D$34),"")&amp;IF($C$6="","",IF(INDEX('Utrekning'!$V$2:$V$41,'Utrekning'!$D$34)=0," ✱",IF(INDEX('Utrekning'!$J$2:$J$41,'Utrekning'!$D$34)&gt;INDEX('Utrekning'!$V$2:$V$41,'Utrekning'!$D$34)," ↑",IF(INDEX('Utrekning'!$J$2:$J$41,'Utrekning'!$D$34)&lt;INDEX('Utrekning'!$V$2:$V$41,'Utrekning'!$D$34)," ↓","")))))</f>
        <v/>
      </c>
      <c r="L41" s="39">
        <f>IF(OR($B41="",INDEX('Utrekning'!$K$2:$K$41,'Utrekning'!$D$34)=0),"",CHOOSE(INDEX('Utrekning'!$K$2:$K$41,'Utrekning'!$D$34),"●","▲","■")&amp;IF(INDEX('Utrekning'!$AI$2:$AI$41,'Utrekning'!$D$34)&gt;1," "&amp;INDEX('Utrekning'!$AI$2:$AI$41,'Utrekning'!$D$34),"")&amp;IF($C$6="","",IF(INDEX('Utrekning'!$W$2:$W$41,'Utrekning'!$D$34)=0," ✱",IF(INDEX('Utrekning'!$K$2:$K$41,'Utrekning'!$D$34)&gt;INDEX('Utrekning'!$W$2:$W$41,'Utrekning'!$D$34)," ↑",IF(INDEX('Utrekning'!$K$2:$K$41,'Utrekning'!$D$34)&lt;INDEX('Utrekning'!$W$2:$W$41,'Utrekning'!$D$34)," ↓","")))))</f>
        <v/>
      </c>
      <c r="M41" s="39">
        <f>IF(OR($B41="",INDEX('Utrekning'!$L$2:$L$41,'Utrekning'!$D$34)=0),"",CHOOSE(INDEX('Utrekning'!$L$2:$L$41,'Utrekning'!$D$34),"●","▲","■")&amp;IF(INDEX('Utrekning'!$AJ$2:$AJ$41,'Utrekning'!$D$34)&gt;1," "&amp;INDEX('Utrekning'!$AJ$2:$AJ$41,'Utrekning'!$D$34),"")&amp;IF($C$6="","",IF(INDEX('Utrekning'!$X$2:$X$41,'Utrekning'!$D$34)=0," ✱",IF(INDEX('Utrekning'!$L$2:$L$41,'Utrekning'!$D$34)&gt;INDEX('Utrekning'!$X$2:$X$41,'Utrekning'!$D$34)," ↑",IF(INDEX('Utrekning'!$L$2:$L$41,'Utrekning'!$D$34)&lt;INDEX('Utrekning'!$X$2:$X$41,'Utrekning'!$D$34)," ↓","")))))</f>
        <v/>
      </c>
      <c r="N41" s="39">
        <f>IF(OR($B41="",INDEX('Utrekning'!$M$2:$M$41,'Utrekning'!$D$34)=0),"",CHOOSE(INDEX('Utrekning'!$M$2:$M$41,'Utrekning'!$D$34),"●","▲","■")&amp;IF(INDEX('Utrekning'!$AK$2:$AK$41,'Utrekning'!$D$34)&gt;1," "&amp;INDEX('Utrekning'!$AK$2:$AK$41,'Utrekning'!$D$34),"")&amp;IF($C$6="","",IF(INDEX('Utrekning'!$Y$2:$Y$41,'Utrekning'!$D$34)=0," ✱",IF(INDEX('Utrekning'!$M$2:$M$41,'Utrekning'!$D$34)&gt;INDEX('Utrekning'!$Y$2:$Y$41,'Utrekning'!$D$34)," ↑",IF(INDEX('Utrekning'!$M$2:$M$41,'Utrekning'!$D$34)&lt;INDEX('Utrekning'!$Y$2:$Y$41,'Utrekning'!$D$34)," ↓","")))))</f>
        <v/>
      </c>
      <c r="O41" s="39">
        <f>IF(OR($B41="",INDEX('Utrekning'!$N$2:$N$41,'Utrekning'!$D$34)=0),"",CHOOSE(INDEX('Utrekning'!$N$2:$N$41,'Utrekning'!$D$34),"●","▲","■")&amp;IF(INDEX('Utrekning'!$AL$2:$AL$41,'Utrekning'!$D$34)&gt;1," "&amp;INDEX('Utrekning'!$AL$2:$AL$41,'Utrekning'!$D$34),"")&amp;IF($C$6="","",IF(INDEX('Utrekning'!$Z$2:$Z$41,'Utrekning'!$D$34)=0," ✱",IF(INDEX('Utrekning'!$N$2:$N$41,'Utrekning'!$D$34)&gt;INDEX('Utrekning'!$Z$2:$Z$41,'Utrekning'!$D$34)," ↑",IF(INDEX('Utrekning'!$N$2:$N$41,'Utrekning'!$D$34)&lt;INDEX('Utrekning'!$Z$2:$Z$41,'Utrekning'!$D$34)," ↓","")))))</f>
        <v/>
      </c>
      <c r="P41" s="39">
        <f>IF(OR($B41="",INDEX('Utrekning'!$O$2:$O$41,'Utrekning'!$D$34)=0),"",CHOOSE(INDEX('Utrekning'!$O$2:$O$41,'Utrekning'!$D$34),"●","▲","■")&amp;IF(INDEX('Utrekning'!$AM$2:$AM$41,'Utrekning'!$D$34)&gt;1," "&amp;INDEX('Utrekning'!$AM$2:$AM$41,'Utrekning'!$D$34),"")&amp;IF($C$6="","",IF(INDEX('Utrekning'!$AA$2:$AA$41,'Utrekning'!$D$34)=0," ✱",IF(INDEX('Utrekning'!$O$2:$O$41,'Utrekning'!$D$34)&gt;INDEX('Utrekning'!$AA$2:$AA$41,'Utrekning'!$D$34)," ↑",IF(INDEX('Utrekning'!$O$2:$O$41,'Utrekning'!$D$34)&lt;INDEX('Utrekning'!$AA$2:$AA$41,'Utrekning'!$D$34)," ↓","")))))</f>
        <v/>
      </c>
      <c r="Q41" s="39">
        <f>IF(OR($B41="",INDEX('Utrekning'!$P$2:$P$41,'Utrekning'!$D$34)=0),"",CHOOSE(INDEX('Utrekning'!$P$2:$P$41,'Utrekning'!$D$34),"●","▲","■")&amp;IF(INDEX('Utrekning'!$AN$2:$AN$41,'Utrekning'!$D$34)&gt;1," "&amp;INDEX('Utrekning'!$AN$2:$AN$41,'Utrekning'!$D$34),"")&amp;IF($C$6="","",IF(INDEX('Utrekning'!$AB$2:$AB$41,'Utrekning'!$D$34)=0," ✱",IF(INDEX('Utrekning'!$P$2:$P$41,'Utrekning'!$D$34)&gt;INDEX('Utrekning'!$AB$2:$AB$41,'Utrekning'!$D$34)," ↑",IF(INDEX('Utrekning'!$P$2:$P$41,'Utrekning'!$D$34)&lt;INDEX('Utrekning'!$AB$2:$AB$41,'Utrekning'!$D$34)," ↓","")))))</f>
        <v/>
      </c>
    </row>
    <row r="42" ht="22" customHeight="1">
      <c r="B42" s="37">
        <f>IFERROR(INDEX('Utrekning'!$B$2:$B$41,'Utrekning'!$D$35),"")</f>
        <v/>
      </c>
      <c r="C42" s="38">
        <f>IF($B42="","",COUNTIF(INDEX('Utrekning'!$E$2:$P$41,'Utrekning'!$D$35,0),3))</f>
        <v/>
      </c>
      <c r="D42" s="38">
        <f>IF($B42="","",COUNTIF(INDEX('Utrekning'!$E$2:$P$41,'Utrekning'!$D$35,0),2))</f>
        <v/>
      </c>
      <c r="E42" s="38">
        <f>IF($B42="","",COUNTIFS('Tiltak'!$B$2:$B$251,$C$5,'Tiltak'!$C$2:$C$251,$B42,'Tiltak'!$E$2:$E$251,"&lt;&gt;",'Tiltak'!$H$2:$H$251,"&lt;&gt;Avslutta",'Tiltak'!$H$2:$H$251,"&lt;&gt;Avsluttet"))</f>
        <v/>
      </c>
      <c r="F42" s="39">
        <f>IF(OR($B42="",INDEX('Utrekning'!$E$2:$E$41,'Utrekning'!$D$35)=0),"",CHOOSE(INDEX('Utrekning'!$E$2:$E$41,'Utrekning'!$D$35),"●","▲","■")&amp;IF(INDEX('Utrekning'!$AC$2:$AC$41,'Utrekning'!$D$35)&gt;1," "&amp;INDEX('Utrekning'!$AC$2:$AC$41,'Utrekning'!$D$35),"")&amp;IF($C$6="","",IF(INDEX('Utrekning'!$Q$2:$Q$41,'Utrekning'!$D$35)=0," ✱",IF(INDEX('Utrekning'!$E$2:$E$41,'Utrekning'!$D$35)&gt;INDEX('Utrekning'!$Q$2:$Q$41,'Utrekning'!$D$35)," ↑",IF(INDEX('Utrekning'!$E$2:$E$41,'Utrekning'!$D$35)&lt;INDEX('Utrekning'!$Q$2:$Q$41,'Utrekning'!$D$35)," ↓","")))))</f>
        <v/>
      </c>
      <c r="G42" s="39">
        <f>IF(OR($B42="",INDEX('Utrekning'!$F$2:$F$41,'Utrekning'!$D$35)=0),"",CHOOSE(INDEX('Utrekning'!$F$2:$F$41,'Utrekning'!$D$35),"●","▲","■")&amp;IF(INDEX('Utrekning'!$AD$2:$AD$41,'Utrekning'!$D$35)&gt;1," "&amp;INDEX('Utrekning'!$AD$2:$AD$41,'Utrekning'!$D$35),"")&amp;IF($C$6="","",IF(INDEX('Utrekning'!$R$2:$R$41,'Utrekning'!$D$35)=0," ✱",IF(INDEX('Utrekning'!$F$2:$F$41,'Utrekning'!$D$35)&gt;INDEX('Utrekning'!$R$2:$R$41,'Utrekning'!$D$35)," ↑",IF(INDEX('Utrekning'!$F$2:$F$41,'Utrekning'!$D$35)&lt;INDEX('Utrekning'!$R$2:$R$41,'Utrekning'!$D$35)," ↓","")))))</f>
        <v/>
      </c>
      <c r="H42" s="39">
        <f>IF(OR($B42="",INDEX('Utrekning'!$G$2:$G$41,'Utrekning'!$D$35)=0),"",CHOOSE(INDEX('Utrekning'!$G$2:$G$41,'Utrekning'!$D$35),"●","▲","■")&amp;IF(INDEX('Utrekning'!$AE$2:$AE$41,'Utrekning'!$D$35)&gt;1," "&amp;INDEX('Utrekning'!$AE$2:$AE$41,'Utrekning'!$D$35),"")&amp;IF($C$6="","",IF(INDEX('Utrekning'!$S$2:$S$41,'Utrekning'!$D$35)=0," ✱",IF(INDEX('Utrekning'!$G$2:$G$41,'Utrekning'!$D$35)&gt;INDEX('Utrekning'!$S$2:$S$41,'Utrekning'!$D$35)," ↑",IF(INDEX('Utrekning'!$G$2:$G$41,'Utrekning'!$D$35)&lt;INDEX('Utrekning'!$S$2:$S$41,'Utrekning'!$D$35)," ↓","")))))</f>
        <v/>
      </c>
      <c r="I42" s="39">
        <f>IF(OR($B42="",INDEX('Utrekning'!$H$2:$H$41,'Utrekning'!$D$35)=0),"",CHOOSE(INDEX('Utrekning'!$H$2:$H$41,'Utrekning'!$D$35),"●","▲","■")&amp;IF(INDEX('Utrekning'!$AF$2:$AF$41,'Utrekning'!$D$35)&gt;1," "&amp;INDEX('Utrekning'!$AF$2:$AF$41,'Utrekning'!$D$35),"")&amp;IF($C$6="","",IF(INDEX('Utrekning'!$T$2:$T$41,'Utrekning'!$D$35)=0," ✱",IF(INDEX('Utrekning'!$H$2:$H$41,'Utrekning'!$D$35)&gt;INDEX('Utrekning'!$T$2:$T$41,'Utrekning'!$D$35)," ↑",IF(INDEX('Utrekning'!$H$2:$H$41,'Utrekning'!$D$35)&lt;INDEX('Utrekning'!$T$2:$T$41,'Utrekning'!$D$35)," ↓","")))))</f>
        <v/>
      </c>
      <c r="J42" s="39">
        <f>IF(OR($B42="",INDEX('Utrekning'!$I$2:$I$41,'Utrekning'!$D$35)=0),"",CHOOSE(INDEX('Utrekning'!$I$2:$I$41,'Utrekning'!$D$35),"●","▲","■")&amp;IF(INDEX('Utrekning'!$AG$2:$AG$41,'Utrekning'!$D$35)&gt;1," "&amp;INDEX('Utrekning'!$AG$2:$AG$41,'Utrekning'!$D$35),"")&amp;IF($C$6="","",IF(INDEX('Utrekning'!$U$2:$U$41,'Utrekning'!$D$35)=0," ✱",IF(INDEX('Utrekning'!$I$2:$I$41,'Utrekning'!$D$35)&gt;INDEX('Utrekning'!$U$2:$U$41,'Utrekning'!$D$35)," ↑",IF(INDEX('Utrekning'!$I$2:$I$41,'Utrekning'!$D$35)&lt;INDEX('Utrekning'!$U$2:$U$41,'Utrekning'!$D$35)," ↓","")))))</f>
        <v/>
      </c>
      <c r="K42" s="39">
        <f>IF(OR($B42="",INDEX('Utrekning'!$J$2:$J$41,'Utrekning'!$D$35)=0),"",CHOOSE(INDEX('Utrekning'!$J$2:$J$41,'Utrekning'!$D$35),"●","▲","■")&amp;IF(INDEX('Utrekning'!$AH$2:$AH$41,'Utrekning'!$D$35)&gt;1," "&amp;INDEX('Utrekning'!$AH$2:$AH$41,'Utrekning'!$D$35),"")&amp;IF($C$6="","",IF(INDEX('Utrekning'!$V$2:$V$41,'Utrekning'!$D$35)=0," ✱",IF(INDEX('Utrekning'!$J$2:$J$41,'Utrekning'!$D$35)&gt;INDEX('Utrekning'!$V$2:$V$41,'Utrekning'!$D$35)," ↑",IF(INDEX('Utrekning'!$J$2:$J$41,'Utrekning'!$D$35)&lt;INDEX('Utrekning'!$V$2:$V$41,'Utrekning'!$D$35)," ↓","")))))</f>
        <v/>
      </c>
      <c r="L42" s="39">
        <f>IF(OR($B42="",INDEX('Utrekning'!$K$2:$K$41,'Utrekning'!$D$35)=0),"",CHOOSE(INDEX('Utrekning'!$K$2:$K$41,'Utrekning'!$D$35),"●","▲","■")&amp;IF(INDEX('Utrekning'!$AI$2:$AI$41,'Utrekning'!$D$35)&gt;1," "&amp;INDEX('Utrekning'!$AI$2:$AI$41,'Utrekning'!$D$35),"")&amp;IF($C$6="","",IF(INDEX('Utrekning'!$W$2:$W$41,'Utrekning'!$D$35)=0," ✱",IF(INDEX('Utrekning'!$K$2:$K$41,'Utrekning'!$D$35)&gt;INDEX('Utrekning'!$W$2:$W$41,'Utrekning'!$D$35)," ↑",IF(INDEX('Utrekning'!$K$2:$K$41,'Utrekning'!$D$35)&lt;INDEX('Utrekning'!$W$2:$W$41,'Utrekning'!$D$35)," ↓","")))))</f>
        <v/>
      </c>
      <c r="M42" s="39">
        <f>IF(OR($B42="",INDEX('Utrekning'!$L$2:$L$41,'Utrekning'!$D$35)=0),"",CHOOSE(INDEX('Utrekning'!$L$2:$L$41,'Utrekning'!$D$35),"●","▲","■")&amp;IF(INDEX('Utrekning'!$AJ$2:$AJ$41,'Utrekning'!$D$35)&gt;1," "&amp;INDEX('Utrekning'!$AJ$2:$AJ$41,'Utrekning'!$D$35),"")&amp;IF($C$6="","",IF(INDEX('Utrekning'!$X$2:$X$41,'Utrekning'!$D$35)=0," ✱",IF(INDEX('Utrekning'!$L$2:$L$41,'Utrekning'!$D$35)&gt;INDEX('Utrekning'!$X$2:$X$41,'Utrekning'!$D$35)," ↑",IF(INDEX('Utrekning'!$L$2:$L$41,'Utrekning'!$D$35)&lt;INDEX('Utrekning'!$X$2:$X$41,'Utrekning'!$D$35)," ↓","")))))</f>
        <v/>
      </c>
      <c r="N42" s="39">
        <f>IF(OR($B42="",INDEX('Utrekning'!$M$2:$M$41,'Utrekning'!$D$35)=0),"",CHOOSE(INDEX('Utrekning'!$M$2:$M$41,'Utrekning'!$D$35),"●","▲","■")&amp;IF(INDEX('Utrekning'!$AK$2:$AK$41,'Utrekning'!$D$35)&gt;1," "&amp;INDEX('Utrekning'!$AK$2:$AK$41,'Utrekning'!$D$35),"")&amp;IF($C$6="","",IF(INDEX('Utrekning'!$Y$2:$Y$41,'Utrekning'!$D$35)=0," ✱",IF(INDEX('Utrekning'!$M$2:$M$41,'Utrekning'!$D$35)&gt;INDEX('Utrekning'!$Y$2:$Y$41,'Utrekning'!$D$35)," ↑",IF(INDEX('Utrekning'!$M$2:$M$41,'Utrekning'!$D$35)&lt;INDEX('Utrekning'!$Y$2:$Y$41,'Utrekning'!$D$35)," ↓","")))))</f>
        <v/>
      </c>
      <c r="O42" s="39">
        <f>IF(OR($B42="",INDEX('Utrekning'!$N$2:$N$41,'Utrekning'!$D$35)=0),"",CHOOSE(INDEX('Utrekning'!$N$2:$N$41,'Utrekning'!$D$35),"●","▲","■")&amp;IF(INDEX('Utrekning'!$AL$2:$AL$41,'Utrekning'!$D$35)&gt;1," "&amp;INDEX('Utrekning'!$AL$2:$AL$41,'Utrekning'!$D$35),"")&amp;IF($C$6="","",IF(INDEX('Utrekning'!$Z$2:$Z$41,'Utrekning'!$D$35)=0," ✱",IF(INDEX('Utrekning'!$N$2:$N$41,'Utrekning'!$D$35)&gt;INDEX('Utrekning'!$Z$2:$Z$41,'Utrekning'!$D$35)," ↑",IF(INDEX('Utrekning'!$N$2:$N$41,'Utrekning'!$D$35)&lt;INDEX('Utrekning'!$Z$2:$Z$41,'Utrekning'!$D$35)," ↓","")))))</f>
        <v/>
      </c>
      <c r="P42" s="39">
        <f>IF(OR($B42="",INDEX('Utrekning'!$O$2:$O$41,'Utrekning'!$D$35)=0),"",CHOOSE(INDEX('Utrekning'!$O$2:$O$41,'Utrekning'!$D$35),"●","▲","■")&amp;IF(INDEX('Utrekning'!$AM$2:$AM$41,'Utrekning'!$D$35)&gt;1," "&amp;INDEX('Utrekning'!$AM$2:$AM$41,'Utrekning'!$D$35),"")&amp;IF($C$6="","",IF(INDEX('Utrekning'!$AA$2:$AA$41,'Utrekning'!$D$35)=0," ✱",IF(INDEX('Utrekning'!$O$2:$O$41,'Utrekning'!$D$35)&gt;INDEX('Utrekning'!$AA$2:$AA$41,'Utrekning'!$D$35)," ↑",IF(INDEX('Utrekning'!$O$2:$O$41,'Utrekning'!$D$35)&lt;INDEX('Utrekning'!$AA$2:$AA$41,'Utrekning'!$D$35)," ↓","")))))</f>
        <v/>
      </c>
      <c r="Q42" s="39">
        <f>IF(OR($B42="",INDEX('Utrekning'!$P$2:$P$41,'Utrekning'!$D$35)=0),"",CHOOSE(INDEX('Utrekning'!$P$2:$P$41,'Utrekning'!$D$35),"●","▲","■")&amp;IF(INDEX('Utrekning'!$AN$2:$AN$41,'Utrekning'!$D$35)&gt;1," "&amp;INDEX('Utrekning'!$AN$2:$AN$41,'Utrekning'!$D$35),"")&amp;IF($C$6="","",IF(INDEX('Utrekning'!$AB$2:$AB$41,'Utrekning'!$D$35)=0," ✱",IF(INDEX('Utrekning'!$P$2:$P$41,'Utrekning'!$D$35)&gt;INDEX('Utrekning'!$AB$2:$AB$41,'Utrekning'!$D$35)," ↑",IF(INDEX('Utrekning'!$P$2:$P$41,'Utrekning'!$D$35)&lt;INDEX('Utrekning'!$AB$2:$AB$41,'Utrekning'!$D$35)," ↓","")))))</f>
        <v/>
      </c>
    </row>
    <row r="43" ht="22" customHeight="1">
      <c r="B43" s="37">
        <f>IFERROR(INDEX('Utrekning'!$B$2:$B$41,'Utrekning'!$D$36),"")</f>
        <v/>
      </c>
      <c r="C43" s="38">
        <f>IF($B43="","",COUNTIF(INDEX('Utrekning'!$E$2:$P$41,'Utrekning'!$D$36,0),3))</f>
        <v/>
      </c>
      <c r="D43" s="38">
        <f>IF($B43="","",COUNTIF(INDEX('Utrekning'!$E$2:$P$41,'Utrekning'!$D$36,0),2))</f>
        <v/>
      </c>
      <c r="E43" s="38">
        <f>IF($B43="","",COUNTIFS('Tiltak'!$B$2:$B$251,$C$5,'Tiltak'!$C$2:$C$251,$B43,'Tiltak'!$E$2:$E$251,"&lt;&gt;",'Tiltak'!$H$2:$H$251,"&lt;&gt;Avslutta",'Tiltak'!$H$2:$H$251,"&lt;&gt;Avsluttet"))</f>
        <v/>
      </c>
      <c r="F43" s="39">
        <f>IF(OR($B43="",INDEX('Utrekning'!$E$2:$E$41,'Utrekning'!$D$36)=0),"",CHOOSE(INDEX('Utrekning'!$E$2:$E$41,'Utrekning'!$D$36),"●","▲","■")&amp;IF(INDEX('Utrekning'!$AC$2:$AC$41,'Utrekning'!$D$36)&gt;1," "&amp;INDEX('Utrekning'!$AC$2:$AC$41,'Utrekning'!$D$36),"")&amp;IF($C$6="","",IF(INDEX('Utrekning'!$Q$2:$Q$41,'Utrekning'!$D$36)=0," ✱",IF(INDEX('Utrekning'!$E$2:$E$41,'Utrekning'!$D$36)&gt;INDEX('Utrekning'!$Q$2:$Q$41,'Utrekning'!$D$36)," ↑",IF(INDEX('Utrekning'!$E$2:$E$41,'Utrekning'!$D$36)&lt;INDEX('Utrekning'!$Q$2:$Q$41,'Utrekning'!$D$36)," ↓","")))))</f>
        <v/>
      </c>
      <c r="G43" s="39">
        <f>IF(OR($B43="",INDEX('Utrekning'!$F$2:$F$41,'Utrekning'!$D$36)=0),"",CHOOSE(INDEX('Utrekning'!$F$2:$F$41,'Utrekning'!$D$36),"●","▲","■")&amp;IF(INDEX('Utrekning'!$AD$2:$AD$41,'Utrekning'!$D$36)&gt;1," "&amp;INDEX('Utrekning'!$AD$2:$AD$41,'Utrekning'!$D$36),"")&amp;IF($C$6="","",IF(INDEX('Utrekning'!$R$2:$R$41,'Utrekning'!$D$36)=0," ✱",IF(INDEX('Utrekning'!$F$2:$F$41,'Utrekning'!$D$36)&gt;INDEX('Utrekning'!$R$2:$R$41,'Utrekning'!$D$36)," ↑",IF(INDEX('Utrekning'!$F$2:$F$41,'Utrekning'!$D$36)&lt;INDEX('Utrekning'!$R$2:$R$41,'Utrekning'!$D$36)," ↓","")))))</f>
        <v/>
      </c>
      <c r="H43" s="39">
        <f>IF(OR($B43="",INDEX('Utrekning'!$G$2:$G$41,'Utrekning'!$D$36)=0),"",CHOOSE(INDEX('Utrekning'!$G$2:$G$41,'Utrekning'!$D$36),"●","▲","■")&amp;IF(INDEX('Utrekning'!$AE$2:$AE$41,'Utrekning'!$D$36)&gt;1," "&amp;INDEX('Utrekning'!$AE$2:$AE$41,'Utrekning'!$D$36),"")&amp;IF($C$6="","",IF(INDEX('Utrekning'!$S$2:$S$41,'Utrekning'!$D$36)=0," ✱",IF(INDEX('Utrekning'!$G$2:$G$41,'Utrekning'!$D$36)&gt;INDEX('Utrekning'!$S$2:$S$41,'Utrekning'!$D$36)," ↑",IF(INDEX('Utrekning'!$G$2:$G$41,'Utrekning'!$D$36)&lt;INDEX('Utrekning'!$S$2:$S$41,'Utrekning'!$D$36)," ↓","")))))</f>
        <v/>
      </c>
      <c r="I43" s="39">
        <f>IF(OR($B43="",INDEX('Utrekning'!$H$2:$H$41,'Utrekning'!$D$36)=0),"",CHOOSE(INDEX('Utrekning'!$H$2:$H$41,'Utrekning'!$D$36),"●","▲","■")&amp;IF(INDEX('Utrekning'!$AF$2:$AF$41,'Utrekning'!$D$36)&gt;1," "&amp;INDEX('Utrekning'!$AF$2:$AF$41,'Utrekning'!$D$36),"")&amp;IF($C$6="","",IF(INDEX('Utrekning'!$T$2:$T$41,'Utrekning'!$D$36)=0," ✱",IF(INDEX('Utrekning'!$H$2:$H$41,'Utrekning'!$D$36)&gt;INDEX('Utrekning'!$T$2:$T$41,'Utrekning'!$D$36)," ↑",IF(INDEX('Utrekning'!$H$2:$H$41,'Utrekning'!$D$36)&lt;INDEX('Utrekning'!$T$2:$T$41,'Utrekning'!$D$36)," ↓","")))))</f>
        <v/>
      </c>
      <c r="J43" s="39">
        <f>IF(OR($B43="",INDEX('Utrekning'!$I$2:$I$41,'Utrekning'!$D$36)=0),"",CHOOSE(INDEX('Utrekning'!$I$2:$I$41,'Utrekning'!$D$36),"●","▲","■")&amp;IF(INDEX('Utrekning'!$AG$2:$AG$41,'Utrekning'!$D$36)&gt;1," "&amp;INDEX('Utrekning'!$AG$2:$AG$41,'Utrekning'!$D$36),"")&amp;IF($C$6="","",IF(INDEX('Utrekning'!$U$2:$U$41,'Utrekning'!$D$36)=0," ✱",IF(INDEX('Utrekning'!$I$2:$I$41,'Utrekning'!$D$36)&gt;INDEX('Utrekning'!$U$2:$U$41,'Utrekning'!$D$36)," ↑",IF(INDEX('Utrekning'!$I$2:$I$41,'Utrekning'!$D$36)&lt;INDEX('Utrekning'!$U$2:$U$41,'Utrekning'!$D$36)," ↓","")))))</f>
        <v/>
      </c>
      <c r="K43" s="39">
        <f>IF(OR($B43="",INDEX('Utrekning'!$J$2:$J$41,'Utrekning'!$D$36)=0),"",CHOOSE(INDEX('Utrekning'!$J$2:$J$41,'Utrekning'!$D$36),"●","▲","■")&amp;IF(INDEX('Utrekning'!$AH$2:$AH$41,'Utrekning'!$D$36)&gt;1," "&amp;INDEX('Utrekning'!$AH$2:$AH$41,'Utrekning'!$D$36),"")&amp;IF($C$6="","",IF(INDEX('Utrekning'!$V$2:$V$41,'Utrekning'!$D$36)=0," ✱",IF(INDEX('Utrekning'!$J$2:$J$41,'Utrekning'!$D$36)&gt;INDEX('Utrekning'!$V$2:$V$41,'Utrekning'!$D$36)," ↑",IF(INDEX('Utrekning'!$J$2:$J$41,'Utrekning'!$D$36)&lt;INDEX('Utrekning'!$V$2:$V$41,'Utrekning'!$D$36)," ↓","")))))</f>
        <v/>
      </c>
      <c r="L43" s="39">
        <f>IF(OR($B43="",INDEX('Utrekning'!$K$2:$K$41,'Utrekning'!$D$36)=0),"",CHOOSE(INDEX('Utrekning'!$K$2:$K$41,'Utrekning'!$D$36),"●","▲","■")&amp;IF(INDEX('Utrekning'!$AI$2:$AI$41,'Utrekning'!$D$36)&gt;1," "&amp;INDEX('Utrekning'!$AI$2:$AI$41,'Utrekning'!$D$36),"")&amp;IF($C$6="","",IF(INDEX('Utrekning'!$W$2:$W$41,'Utrekning'!$D$36)=0," ✱",IF(INDEX('Utrekning'!$K$2:$K$41,'Utrekning'!$D$36)&gt;INDEX('Utrekning'!$W$2:$W$41,'Utrekning'!$D$36)," ↑",IF(INDEX('Utrekning'!$K$2:$K$41,'Utrekning'!$D$36)&lt;INDEX('Utrekning'!$W$2:$W$41,'Utrekning'!$D$36)," ↓","")))))</f>
        <v/>
      </c>
      <c r="M43" s="39">
        <f>IF(OR($B43="",INDEX('Utrekning'!$L$2:$L$41,'Utrekning'!$D$36)=0),"",CHOOSE(INDEX('Utrekning'!$L$2:$L$41,'Utrekning'!$D$36),"●","▲","■")&amp;IF(INDEX('Utrekning'!$AJ$2:$AJ$41,'Utrekning'!$D$36)&gt;1," "&amp;INDEX('Utrekning'!$AJ$2:$AJ$41,'Utrekning'!$D$36),"")&amp;IF($C$6="","",IF(INDEX('Utrekning'!$X$2:$X$41,'Utrekning'!$D$36)=0," ✱",IF(INDEX('Utrekning'!$L$2:$L$41,'Utrekning'!$D$36)&gt;INDEX('Utrekning'!$X$2:$X$41,'Utrekning'!$D$36)," ↑",IF(INDEX('Utrekning'!$L$2:$L$41,'Utrekning'!$D$36)&lt;INDEX('Utrekning'!$X$2:$X$41,'Utrekning'!$D$36)," ↓","")))))</f>
        <v/>
      </c>
      <c r="N43" s="39">
        <f>IF(OR($B43="",INDEX('Utrekning'!$M$2:$M$41,'Utrekning'!$D$36)=0),"",CHOOSE(INDEX('Utrekning'!$M$2:$M$41,'Utrekning'!$D$36),"●","▲","■")&amp;IF(INDEX('Utrekning'!$AK$2:$AK$41,'Utrekning'!$D$36)&gt;1," "&amp;INDEX('Utrekning'!$AK$2:$AK$41,'Utrekning'!$D$36),"")&amp;IF($C$6="","",IF(INDEX('Utrekning'!$Y$2:$Y$41,'Utrekning'!$D$36)=0," ✱",IF(INDEX('Utrekning'!$M$2:$M$41,'Utrekning'!$D$36)&gt;INDEX('Utrekning'!$Y$2:$Y$41,'Utrekning'!$D$36)," ↑",IF(INDEX('Utrekning'!$M$2:$M$41,'Utrekning'!$D$36)&lt;INDEX('Utrekning'!$Y$2:$Y$41,'Utrekning'!$D$36)," ↓","")))))</f>
        <v/>
      </c>
      <c r="O43" s="39">
        <f>IF(OR($B43="",INDEX('Utrekning'!$N$2:$N$41,'Utrekning'!$D$36)=0),"",CHOOSE(INDEX('Utrekning'!$N$2:$N$41,'Utrekning'!$D$36),"●","▲","■")&amp;IF(INDEX('Utrekning'!$AL$2:$AL$41,'Utrekning'!$D$36)&gt;1," "&amp;INDEX('Utrekning'!$AL$2:$AL$41,'Utrekning'!$D$36),"")&amp;IF($C$6="","",IF(INDEX('Utrekning'!$Z$2:$Z$41,'Utrekning'!$D$36)=0," ✱",IF(INDEX('Utrekning'!$N$2:$N$41,'Utrekning'!$D$36)&gt;INDEX('Utrekning'!$Z$2:$Z$41,'Utrekning'!$D$36)," ↑",IF(INDEX('Utrekning'!$N$2:$N$41,'Utrekning'!$D$36)&lt;INDEX('Utrekning'!$Z$2:$Z$41,'Utrekning'!$D$36)," ↓","")))))</f>
        <v/>
      </c>
      <c r="P43" s="39">
        <f>IF(OR($B43="",INDEX('Utrekning'!$O$2:$O$41,'Utrekning'!$D$36)=0),"",CHOOSE(INDEX('Utrekning'!$O$2:$O$41,'Utrekning'!$D$36),"●","▲","■")&amp;IF(INDEX('Utrekning'!$AM$2:$AM$41,'Utrekning'!$D$36)&gt;1," "&amp;INDEX('Utrekning'!$AM$2:$AM$41,'Utrekning'!$D$36),"")&amp;IF($C$6="","",IF(INDEX('Utrekning'!$AA$2:$AA$41,'Utrekning'!$D$36)=0," ✱",IF(INDEX('Utrekning'!$O$2:$O$41,'Utrekning'!$D$36)&gt;INDEX('Utrekning'!$AA$2:$AA$41,'Utrekning'!$D$36)," ↑",IF(INDEX('Utrekning'!$O$2:$O$41,'Utrekning'!$D$36)&lt;INDEX('Utrekning'!$AA$2:$AA$41,'Utrekning'!$D$36)," ↓","")))))</f>
        <v/>
      </c>
      <c r="Q43" s="39">
        <f>IF(OR($B43="",INDEX('Utrekning'!$P$2:$P$41,'Utrekning'!$D$36)=0),"",CHOOSE(INDEX('Utrekning'!$P$2:$P$41,'Utrekning'!$D$36),"●","▲","■")&amp;IF(INDEX('Utrekning'!$AN$2:$AN$41,'Utrekning'!$D$36)&gt;1," "&amp;INDEX('Utrekning'!$AN$2:$AN$41,'Utrekning'!$D$36),"")&amp;IF($C$6="","",IF(INDEX('Utrekning'!$AB$2:$AB$41,'Utrekning'!$D$36)=0," ✱",IF(INDEX('Utrekning'!$P$2:$P$41,'Utrekning'!$D$36)&gt;INDEX('Utrekning'!$AB$2:$AB$41,'Utrekning'!$D$36)," ↑",IF(INDEX('Utrekning'!$P$2:$P$41,'Utrekning'!$D$36)&lt;INDEX('Utrekning'!$AB$2:$AB$41,'Utrekning'!$D$36)," ↓","")))))</f>
        <v/>
      </c>
    </row>
    <row r="44" ht="22" customHeight="1">
      <c r="B44" s="37">
        <f>IFERROR(INDEX('Utrekning'!$B$2:$B$41,'Utrekning'!$D$37),"")</f>
        <v/>
      </c>
      <c r="C44" s="38">
        <f>IF($B44="","",COUNTIF(INDEX('Utrekning'!$E$2:$P$41,'Utrekning'!$D$37,0),3))</f>
        <v/>
      </c>
      <c r="D44" s="38">
        <f>IF($B44="","",COUNTIF(INDEX('Utrekning'!$E$2:$P$41,'Utrekning'!$D$37,0),2))</f>
        <v/>
      </c>
      <c r="E44" s="38">
        <f>IF($B44="","",COUNTIFS('Tiltak'!$B$2:$B$251,$C$5,'Tiltak'!$C$2:$C$251,$B44,'Tiltak'!$E$2:$E$251,"&lt;&gt;",'Tiltak'!$H$2:$H$251,"&lt;&gt;Avslutta",'Tiltak'!$H$2:$H$251,"&lt;&gt;Avsluttet"))</f>
        <v/>
      </c>
      <c r="F44" s="39">
        <f>IF(OR($B44="",INDEX('Utrekning'!$E$2:$E$41,'Utrekning'!$D$37)=0),"",CHOOSE(INDEX('Utrekning'!$E$2:$E$41,'Utrekning'!$D$37),"●","▲","■")&amp;IF(INDEX('Utrekning'!$AC$2:$AC$41,'Utrekning'!$D$37)&gt;1," "&amp;INDEX('Utrekning'!$AC$2:$AC$41,'Utrekning'!$D$37),"")&amp;IF($C$6="","",IF(INDEX('Utrekning'!$Q$2:$Q$41,'Utrekning'!$D$37)=0," ✱",IF(INDEX('Utrekning'!$E$2:$E$41,'Utrekning'!$D$37)&gt;INDEX('Utrekning'!$Q$2:$Q$41,'Utrekning'!$D$37)," ↑",IF(INDEX('Utrekning'!$E$2:$E$41,'Utrekning'!$D$37)&lt;INDEX('Utrekning'!$Q$2:$Q$41,'Utrekning'!$D$37)," ↓","")))))</f>
        <v/>
      </c>
      <c r="G44" s="39">
        <f>IF(OR($B44="",INDEX('Utrekning'!$F$2:$F$41,'Utrekning'!$D$37)=0),"",CHOOSE(INDEX('Utrekning'!$F$2:$F$41,'Utrekning'!$D$37),"●","▲","■")&amp;IF(INDEX('Utrekning'!$AD$2:$AD$41,'Utrekning'!$D$37)&gt;1," "&amp;INDEX('Utrekning'!$AD$2:$AD$41,'Utrekning'!$D$37),"")&amp;IF($C$6="","",IF(INDEX('Utrekning'!$R$2:$R$41,'Utrekning'!$D$37)=0," ✱",IF(INDEX('Utrekning'!$F$2:$F$41,'Utrekning'!$D$37)&gt;INDEX('Utrekning'!$R$2:$R$41,'Utrekning'!$D$37)," ↑",IF(INDEX('Utrekning'!$F$2:$F$41,'Utrekning'!$D$37)&lt;INDEX('Utrekning'!$R$2:$R$41,'Utrekning'!$D$37)," ↓","")))))</f>
        <v/>
      </c>
      <c r="H44" s="39">
        <f>IF(OR($B44="",INDEX('Utrekning'!$G$2:$G$41,'Utrekning'!$D$37)=0),"",CHOOSE(INDEX('Utrekning'!$G$2:$G$41,'Utrekning'!$D$37),"●","▲","■")&amp;IF(INDEX('Utrekning'!$AE$2:$AE$41,'Utrekning'!$D$37)&gt;1," "&amp;INDEX('Utrekning'!$AE$2:$AE$41,'Utrekning'!$D$37),"")&amp;IF($C$6="","",IF(INDEX('Utrekning'!$S$2:$S$41,'Utrekning'!$D$37)=0," ✱",IF(INDEX('Utrekning'!$G$2:$G$41,'Utrekning'!$D$37)&gt;INDEX('Utrekning'!$S$2:$S$41,'Utrekning'!$D$37)," ↑",IF(INDEX('Utrekning'!$G$2:$G$41,'Utrekning'!$D$37)&lt;INDEX('Utrekning'!$S$2:$S$41,'Utrekning'!$D$37)," ↓","")))))</f>
        <v/>
      </c>
      <c r="I44" s="39">
        <f>IF(OR($B44="",INDEX('Utrekning'!$H$2:$H$41,'Utrekning'!$D$37)=0),"",CHOOSE(INDEX('Utrekning'!$H$2:$H$41,'Utrekning'!$D$37),"●","▲","■")&amp;IF(INDEX('Utrekning'!$AF$2:$AF$41,'Utrekning'!$D$37)&gt;1," "&amp;INDEX('Utrekning'!$AF$2:$AF$41,'Utrekning'!$D$37),"")&amp;IF($C$6="","",IF(INDEX('Utrekning'!$T$2:$T$41,'Utrekning'!$D$37)=0," ✱",IF(INDEX('Utrekning'!$H$2:$H$41,'Utrekning'!$D$37)&gt;INDEX('Utrekning'!$T$2:$T$41,'Utrekning'!$D$37)," ↑",IF(INDEX('Utrekning'!$H$2:$H$41,'Utrekning'!$D$37)&lt;INDEX('Utrekning'!$T$2:$T$41,'Utrekning'!$D$37)," ↓","")))))</f>
        <v/>
      </c>
      <c r="J44" s="39">
        <f>IF(OR($B44="",INDEX('Utrekning'!$I$2:$I$41,'Utrekning'!$D$37)=0),"",CHOOSE(INDEX('Utrekning'!$I$2:$I$41,'Utrekning'!$D$37),"●","▲","■")&amp;IF(INDEX('Utrekning'!$AG$2:$AG$41,'Utrekning'!$D$37)&gt;1," "&amp;INDEX('Utrekning'!$AG$2:$AG$41,'Utrekning'!$D$37),"")&amp;IF($C$6="","",IF(INDEX('Utrekning'!$U$2:$U$41,'Utrekning'!$D$37)=0," ✱",IF(INDEX('Utrekning'!$I$2:$I$41,'Utrekning'!$D$37)&gt;INDEX('Utrekning'!$U$2:$U$41,'Utrekning'!$D$37)," ↑",IF(INDEX('Utrekning'!$I$2:$I$41,'Utrekning'!$D$37)&lt;INDEX('Utrekning'!$U$2:$U$41,'Utrekning'!$D$37)," ↓","")))))</f>
        <v/>
      </c>
      <c r="K44" s="39">
        <f>IF(OR($B44="",INDEX('Utrekning'!$J$2:$J$41,'Utrekning'!$D$37)=0),"",CHOOSE(INDEX('Utrekning'!$J$2:$J$41,'Utrekning'!$D$37),"●","▲","■")&amp;IF(INDEX('Utrekning'!$AH$2:$AH$41,'Utrekning'!$D$37)&gt;1," "&amp;INDEX('Utrekning'!$AH$2:$AH$41,'Utrekning'!$D$37),"")&amp;IF($C$6="","",IF(INDEX('Utrekning'!$V$2:$V$41,'Utrekning'!$D$37)=0," ✱",IF(INDEX('Utrekning'!$J$2:$J$41,'Utrekning'!$D$37)&gt;INDEX('Utrekning'!$V$2:$V$41,'Utrekning'!$D$37)," ↑",IF(INDEX('Utrekning'!$J$2:$J$41,'Utrekning'!$D$37)&lt;INDEX('Utrekning'!$V$2:$V$41,'Utrekning'!$D$37)," ↓","")))))</f>
        <v/>
      </c>
      <c r="L44" s="39">
        <f>IF(OR($B44="",INDEX('Utrekning'!$K$2:$K$41,'Utrekning'!$D$37)=0),"",CHOOSE(INDEX('Utrekning'!$K$2:$K$41,'Utrekning'!$D$37),"●","▲","■")&amp;IF(INDEX('Utrekning'!$AI$2:$AI$41,'Utrekning'!$D$37)&gt;1," "&amp;INDEX('Utrekning'!$AI$2:$AI$41,'Utrekning'!$D$37),"")&amp;IF($C$6="","",IF(INDEX('Utrekning'!$W$2:$W$41,'Utrekning'!$D$37)=0," ✱",IF(INDEX('Utrekning'!$K$2:$K$41,'Utrekning'!$D$37)&gt;INDEX('Utrekning'!$W$2:$W$41,'Utrekning'!$D$37)," ↑",IF(INDEX('Utrekning'!$K$2:$K$41,'Utrekning'!$D$37)&lt;INDEX('Utrekning'!$W$2:$W$41,'Utrekning'!$D$37)," ↓","")))))</f>
        <v/>
      </c>
      <c r="M44" s="39">
        <f>IF(OR($B44="",INDEX('Utrekning'!$L$2:$L$41,'Utrekning'!$D$37)=0),"",CHOOSE(INDEX('Utrekning'!$L$2:$L$41,'Utrekning'!$D$37),"●","▲","■")&amp;IF(INDEX('Utrekning'!$AJ$2:$AJ$41,'Utrekning'!$D$37)&gt;1," "&amp;INDEX('Utrekning'!$AJ$2:$AJ$41,'Utrekning'!$D$37),"")&amp;IF($C$6="","",IF(INDEX('Utrekning'!$X$2:$X$41,'Utrekning'!$D$37)=0," ✱",IF(INDEX('Utrekning'!$L$2:$L$41,'Utrekning'!$D$37)&gt;INDEX('Utrekning'!$X$2:$X$41,'Utrekning'!$D$37)," ↑",IF(INDEX('Utrekning'!$L$2:$L$41,'Utrekning'!$D$37)&lt;INDEX('Utrekning'!$X$2:$X$41,'Utrekning'!$D$37)," ↓","")))))</f>
        <v/>
      </c>
      <c r="N44" s="39">
        <f>IF(OR($B44="",INDEX('Utrekning'!$M$2:$M$41,'Utrekning'!$D$37)=0),"",CHOOSE(INDEX('Utrekning'!$M$2:$M$41,'Utrekning'!$D$37),"●","▲","■")&amp;IF(INDEX('Utrekning'!$AK$2:$AK$41,'Utrekning'!$D$37)&gt;1," "&amp;INDEX('Utrekning'!$AK$2:$AK$41,'Utrekning'!$D$37),"")&amp;IF($C$6="","",IF(INDEX('Utrekning'!$Y$2:$Y$41,'Utrekning'!$D$37)=0," ✱",IF(INDEX('Utrekning'!$M$2:$M$41,'Utrekning'!$D$37)&gt;INDEX('Utrekning'!$Y$2:$Y$41,'Utrekning'!$D$37)," ↑",IF(INDEX('Utrekning'!$M$2:$M$41,'Utrekning'!$D$37)&lt;INDEX('Utrekning'!$Y$2:$Y$41,'Utrekning'!$D$37)," ↓","")))))</f>
        <v/>
      </c>
      <c r="O44" s="39">
        <f>IF(OR($B44="",INDEX('Utrekning'!$N$2:$N$41,'Utrekning'!$D$37)=0),"",CHOOSE(INDEX('Utrekning'!$N$2:$N$41,'Utrekning'!$D$37),"●","▲","■")&amp;IF(INDEX('Utrekning'!$AL$2:$AL$41,'Utrekning'!$D$37)&gt;1," "&amp;INDEX('Utrekning'!$AL$2:$AL$41,'Utrekning'!$D$37),"")&amp;IF($C$6="","",IF(INDEX('Utrekning'!$Z$2:$Z$41,'Utrekning'!$D$37)=0," ✱",IF(INDEX('Utrekning'!$N$2:$N$41,'Utrekning'!$D$37)&gt;INDEX('Utrekning'!$Z$2:$Z$41,'Utrekning'!$D$37)," ↑",IF(INDEX('Utrekning'!$N$2:$N$41,'Utrekning'!$D$37)&lt;INDEX('Utrekning'!$Z$2:$Z$41,'Utrekning'!$D$37)," ↓","")))))</f>
        <v/>
      </c>
      <c r="P44" s="39">
        <f>IF(OR($B44="",INDEX('Utrekning'!$O$2:$O$41,'Utrekning'!$D$37)=0),"",CHOOSE(INDEX('Utrekning'!$O$2:$O$41,'Utrekning'!$D$37),"●","▲","■")&amp;IF(INDEX('Utrekning'!$AM$2:$AM$41,'Utrekning'!$D$37)&gt;1," "&amp;INDEX('Utrekning'!$AM$2:$AM$41,'Utrekning'!$D$37),"")&amp;IF($C$6="","",IF(INDEX('Utrekning'!$AA$2:$AA$41,'Utrekning'!$D$37)=0," ✱",IF(INDEX('Utrekning'!$O$2:$O$41,'Utrekning'!$D$37)&gt;INDEX('Utrekning'!$AA$2:$AA$41,'Utrekning'!$D$37)," ↑",IF(INDEX('Utrekning'!$O$2:$O$41,'Utrekning'!$D$37)&lt;INDEX('Utrekning'!$AA$2:$AA$41,'Utrekning'!$D$37)," ↓","")))))</f>
        <v/>
      </c>
      <c r="Q44" s="39">
        <f>IF(OR($B44="",INDEX('Utrekning'!$P$2:$P$41,'Utrekning'!$D$37)=0),"",CHOOSE(INDEX('Utrekning'!$P$2:$P$41,'Utrekning'!$D$37),"●","▲","■")&amp;IF(INDEX('Utrekning'!$AN$2:$AN$41,'Utrekning'!$D$37)&gt;1," "&amp;INDEX('Utrekning'!$AN$2:$AN$41,'Utrekning'!$D$37),"")&amp;IF($C$6="","",IF(INDEX('Utrekning'!$AB$2:$AB$41,'Utrekning'!$D$37)=0," ✱",IF(INDEX('Utrekning'!$P$2:$P$41,'Utrekning'!$D$37)&gt;INDEX('Utrekning'!$AB$2:$AB$41,'Utrekning'!$D$37)," ↑",IF(INDEX('Utrekning'!$P$2:$P$41,'Utrekning'!$D$37)&lt;INDEX('Utrekning'!$AB$2:$AB$41,'Utrekning'!$D$37)," ↓","")))))</f>
        <v/>
      </c>
    </row>
    <row r="45" ht="22" customHeight="1">
      <c r="B45" s="37">
        <f>IFERROR(INDEX('Utrekning'!$B$2:$B$41,'Utrekning'!$D$38),"")</f>
        <v/>
      </c>
      <c r="C45" s="38">
        <f>IF($B45="","",COUNTIF(INDEX('Utrekning'!$E$2:$P$41,'Utrekning'!$D$38,0),3))</f>
        <v/>
      </c>
      <c r="D45" s="38">
        <f>IF($B45="","",COUNTIF(INDEX('Utrekning'!$E$2:$P$41,'Utrekning'!$D$38,0),2))</f>
        <v/>
      </c>
      <c r="E45" s="38">
        <f>IF($B45="","",COUNTIFS('Tiltak'!$B$2:$B$251,$C$5,'Tiltak'!$C$2:$C$251,$B45,'Tiltak'!$E$2:$E$251,"&lt;&gt;",'Tiltak'!$H$2:$H$251,"&lt;&gt;Avslutta",'Tiltak'!$H$2:$H$251,"&lt;&gt;Avsluttet"))</f>
        <v/>
      </c>
      <c r="F45" s="39">
        <f>IF(OR($B45="",INDEX('Utrekning'!$E$2:$E$41,'Utrekning'!$D$38)=0),"",CHOOSE(INDEX('Utrekning'!$E$2:$E$41,'Utrekning'!$D$38),"●","▲","■")&amp;IF(INDEX('Utrekning'!$AC$2:$AC$41,'Utrekning'!$D$38)&gt;1," "&amp;INDEX('Utrekning'!$AC$2:$AC$41,'Utrekning'!$D$38),"")&amp;IF($C$6="","",IF(INDEX('Utrekning'!$Q$2:$Q$41,'Utrekning'!$D$38)=0," ✱",IF(INDEX('Utrekning'!$E$2:$E$41,'Utrekning'!$D$38)&gt;INDEX('Utrekning'!$Q$2:$Q$41,'Utrekning'!$D$38)," ↑",IF(INDEX('Utrekning'!$E$2:$E$41,'Utrekning'!$D$38)&lt;INDEX('Utrekning'!$Q$2:$Q$41,'Utrekning'!$D$38)," ↓","")))))</f>
        <v/>
      </c>
      <c r="G45" s="39">
        <f>IF(OR($B45="",INDEX('Utrekning'!$F$2:$F$41,'Utrekning'!$D$38)=0),"",CHOOSE(INDEX('Utrekning'!$F$2:$F$41,'Utrekning'!$D$38),"●","▲","■")&amp;IF(INDEX('Utrekning'!$AD$2:$AD$41,'Utrekning'!$D$38)&gt;1," "&amp;INDEX('Utrekning'!$AD$2:$AD$41,'Utrekning'!$D$38),"")&amp;IF($C$6="","",IF(INDEX('Utrekning'!$R$2:$R$41,'Utrekning'!$D$38)=0," ✱",IF(INDEX('Utrekning'!$F$2:$F$41,'Utrekning'!$D$38)&gt;INDEX('Utrekning'!$R$2:$R$41,'Utrekning'!$D$38)," ↑",IF(INDEX('Utrekning'!$F$2:$F$41,'Utrekning'!$D$38)&lt;INDEX('Utrekning'!$R$2:$R$41,'Utrekning'!$D$38)," ↓","")))))</f>
        <v/>
      </c>
      <c r="H45" s="39">
        <f>IF(OR($B45="",INDEX('Utrekning'!$G$2:$G$41,'Utrekning'!$D$38)=0),"",CHOOSE(INDEX('Utrekning'!$G$2:$G$41,'Utrekning'!$D$38),"●","▲","■")&amp;IF(INDEX('Utrekning'!$AE$2:$AE$41,'Utrekning'!$D$38)&gt;1," "&amp;INDEX('Utrekning'!$AE$2:$AE$41,'Utrekning'!$D$38),"")&amp;IF($C$6="","",IF(INDEX('Utrekning'!$S$2:$S$41,'Utrekning'!$D$38)=0," ✱",IF(INDEX('Utrekning'!$G$2:$G$41,'Utrekning'!$D$38)&gt;INDEX('Utrekning'!$S$2:$S$41,'Utrekning'!$D$38)," ↑",IF(INDEX('Utrekning'!$G$2:$G$41,'Utrekning'!$D$38)&lt;INDEX('Utrekning'!$S$2:$S$41,'Utrekning'!$D$38)," ↓","")))))</f>
        <v/>
      </c>
      <c r="I45" s="39">
        <f>IF(OR($B45="",INDEX('Utrekning'!$H$2:$H$41,'Utrekning'!$D$38)=0),"",CHOOSE(INDEX('Utrekning'!$H$2:$H$41,'Utrekning'!$D$38),"●","▲","■")&amp;IF(INDEX('Utrekning'!$AF$2:$AF$41,'Utrekning'!$D$38)&gt;1," "&amp;INDEX('Utrekning'!$AF$2:$AF$41,'Utrekning'!$D$38),"")&amp;IF($C$6="","",IF(INDEX('Utrekning'!$T$2:$T$41,'Utrekning'!$D$38)=0," ✱",IF(INDEX('Utrekning'!$H$2:$H$41,'Utrekning'!$D$38)&gt;INDEX('Utrekning'!$T$2:$T$41,'Utrekning'!$D$38)," ↑",IF(INDEX('Utrekning'!$H$2:$H$41,'Utrekning'!$D$38)&lt;INDEX('Utrekning'!$T$2:$T$41,'Utrekning'!$D$38)," ↓","")))))</f>
        <v/>
      </c>
      <c r="J45" s="39">
        <f>IF(OR($B45="",INDEX('Utrekning'!$I$2:$I$41,'Utrekning'!$D$38)=0),"",CHOOSE(INDEX('Utrekning'!$I$2:$I$41,'Utrekning'!$D$38),"●","▲","■")&amp;IF(INDEX('Utrekning'!$AG$2:$AG$41,'Utrekning'!$D$38)&gt;1," "&amp;INDEX('Utrekning'!$AG$2:$AG$41,'Utrekning'!$D$38),"")&amp;IF($C$6="","",IF(INDEX('Utrekning'!$U$2:$U$41,'Utrekning'!$D$38)=0," ✱",IF(INDEX('Utrekning'!$I$2:$I$41,'Utrekning'!$D$38)&gt;INDEX('Utrekning'!$U$2:$U$41,'Utrekning'!$D$38)," ↑",IF(INDEX('Utrekning'!$I$2:$I$41,'Utrekning'!$D$38)&lt;INDEX('Utrekning'!$U$2:$U$41,'Utrekning'!$D$38)," ↓","")))))</f>
        <v/>
      </c>
      <c r="K45" s="39">
        <f>IF(OR($B45="",INDEX('Utrekning'!$J$2:$J$41,'Utrekning'!$D$38)=0),"",CHOOSE(INDEX('Utrekning'!$J$2:$J$41,'Utrekning'!$D$38),"●","▲","■")&amp;IF(INDEX('Utrekning'!$AH$2:$AH$41,'Utrekning'!$D$38)&gt;1," "&amp;INDEX('Utrekning'!$AH$2:$AH$41,'Utrekning'!$D$38),"")&amp;IF($C$6="","",IF(INDEX('Utrekning'!$V$2:$V$41,'Utrekning'!$D$38)=0," ✱",IF(INDEX('Utrekning'!$J$2:$J$41,'Utrekning'!$D$38)&gt;INDEX('Utrekning'!$V$2:$V$41,'Utrekning'!$D$38)," ↑",IF(INDEX('Utrekning'!$J$2:$J$41,'Utrekning'!$D$38)&lt;INDEX('Utrekning'!$V$2:$V$41,'Utrekning'!$D$38)," ↓","")))))</f>
        <v/>
      </c>
      <c r="L45" s="39">
        <f>IF(OR($B45="",INDEX('Utrekning'!$K$2:$K$41,'Utrekning'!$D$38)=0),"",CHOOSE(INDEX('Utrekning'!$K$2:$K$41,'Utrekning'!$D$38),"●","▲","■")&amp;IF(INDEX('Utrekning'!$AI$2:$AI$41,'Utrekning'!$D$38)&gt;1," "&amp;INDEX('Utrekning'!$AI$2:$AI$41,'Utrekning'!$D$38),"")&amp;IF($C$6="","",IF(INDEX('Utrekning'!$W$2:$W$41,'Utrekning'!$D$38)=0," ✱",IF(INDEX('Utrekning'!$K$2:$K$41,'Utrekning'!$D$38)&gt;INDEX('Utrekning'!$W$2:$W$41,'Utrekning'!$D$38)," ↑",IF(INDEX('Utrekning'!$K$2:$K$41,'Utrekning'!$D$38)&lt;INDEX('Utrekning'!$W$2:$W$41,'Utrekning'!$D$38)," ↓","")))))</f>
        <v/>
      </c>
      <c r="M45" s="39">
        <f>IF(OR($B45="",INDEX('Utrekning'!$L$2:$L$41,'Utrekning'!$D$38)=0),"",CHOOSE(INDEX('Utrekning'!$L$2:$L$41,'Utrekning'!$D$38),"●","▲","■")&amp;IF(INDEX('Utrekning'!$AJ$2:$AJ$41,'Utrekning'!$D$38)&gt;1," "&amp;INDEX('Utrekning'!$AJ$2:$AJ$41,'Utrekning'!$D$38),"")&amp;IF($C$6="","",IF(INDEX('Utrekning'!$X$2:$X$41,'Utrekning'!$D$38)=0," ✱",IF(INDEX('Utrekning'!$L$2:$L$41,'Utrekning'!$D$38)&gt;INDEX('Utrekning'!$X$2:$X$41,'Utrekning'!$D$38)," ↑",IF(INDEX('Utrekning'!$L$2:$L$41,'Utrekning'!$D$38)&lt;INDEX('Utrekning'!$X$2:$X$41,'Utrekning'!$D$38)," ↓","")))))</f>
        <v/>
      </c>
      <c r="N45" s="39">
        <f>IF(OR($B45="",INDEX('Utrekning'!$M$2:$M$41,'Utrekning'!$D$38)=0),"",CHOOSE(INDEX('Utrekning'!$M$2:$M$41,'Utrekning'!$D$38),"●","▲","■")&amp;IF(INDEX('Utrekning'!$AK$2:$AK$41,'Utrekning'!$D$38)&gt;1," "&amp;INDEX('Utrekning'!$AK$2:$AK$41,'Utrekning'!$D$38),"")&amp;IF($C$6="","",IF(INDEX('Utrekning'!$Y$2:$Y$41,'Utrekning'!$D$38)=0," ✱",IF(INDEX('Utrekning'!$M$2:$M$41,'Utrekning'!$D$38)&gt;INDEX('Utrekning'!$Y$2:$Y$41,'Utrekning'!$D$38)," ↑",IF(INDEX('Utrekning'!$M$2:$M$41,'Utrekning'!$D$38)&lt;INDEX('Utrekning'!$Y$2:$Y$41,'Utrekning'!$D$38)," ↓","")))))</f>
        <v/>
      </c>
      <c r="O45" s="39">
        <f>IF(OR($B45="",INDEX('Utrekning'!$N$2:$N$41,'Utrekning'!$D$38)=0),"",CHOOSE(INDEX('Utrekning'!$N$2:$N$41,'Utrekning'!$D$38),"●","▲","■")&amp;IF(INDEX('Utrekning'!$AL$2:$AL$41,'Utrekning'!$D$38)&gt;1," "&amp;INDEX('Utrekning'!$AL$2:$AL$41,'Utrekning'!$D$38),"")&amp;IF($C$6="","",IF(INDEX('Utrekning'!$Z$2:$Z$41,'Utrekning'!$D$38)=0," ✱",IF(INDEX('Utrekning'!$N$2:$N$41,'Utrekning'!$D$38)&gt;INDEX('Utrekning'!$Z$2:$Z$41,'Utrekning'!$D$38)," ↑",IF(INDEX('Utrekning'!$N$2:$N$41,'Utrekning'!$D$38)&lt;INDEX('Utrekning'!$Z$2:$Z$41,'Utrekning'!$D$38)," ↓","")))))</f>
        <v/>
      </c>
      <c r="P45" s="39">
        <f>IF(OR($B45="",INDEX('Utrekning'!$O$2:$O$41,'Utrekning'!$D$38)=0),"",CHOOSE(INDEX('Utrekning'!$O$2:$O$41,'Utrekning'!$D$38),"●","▲","■")&amp;IF(INDEX('Utrekning'!$AM$2:$AM$41,'Utrekning'!$D$38)&gt;1," "&amp;INDEX('Utrekning'!$AM$2:$AM$41,'Utrekning'!$D$38),"")&amp;IF($C$6="","",IF(INDEX('Utrekning'!$AA$2:$AA$41,'Utrekning'!$D$38)=0," ✱",IF(INDEX('Utrekning'!$O$2:$O$41,'Utrekning'!$D$38)&gt;INDEX('Utrekning'!$AA$2:$AA$41,'Utrekning'!$D$38)," ↑",IF(INDEX('Utrekning'!$O$2:$O$41,'Utrekning'!$D$38)&lt;INDEX('Utrekning'!$AA$2:$AA$41,'Utrekning'!$D$38)," ↓","")))))</f>
        <v/>
      </c>
      <c r="Q45" s="39">
        <f>IF(OR($B45="",INDEX('Utrekning'!$P$2:$P$41,'Utrekning'!$D$38)=0),"",CHOOSE(INDEX('Utrekning'!$P$2:$P$41,'Utrekning'!$D$38),"●","▲","■")&amp;IF(INDEX('Utrekning'!$AN$2:$AN$41,'Utrekning'!$D$38)&gt;1," "&amp;INDEX('Utrekning'!$AN$2:$AN$41,'Utrekning'!$D$38),"")&amp;IF($C$6="","",IF(INDEX('Utrekning'!$AB$2:$AB$41,'Utrekning'!$D$38)=0," ✱",IF(INDEX('Utrekning'!$P$2:$P$41,'Utrekning'!$D$38)&gt;INDEX('Utrekning'!$AB$2:$AB$41,'Utrekning'!$D$38)," ↑",IF(INDEX('Utrekning'!$P$2:$P$41,'Utrekning'!$D$38)&lt;INDEX('Utrekning'!$AB$2:$AB$41,'Utrekning'!$D$38)," ↓","")))))</f>
        <v/>
      </c>
    </row>
    <row r="46" ht="22" customHeight="1">
      <c r="B46" s="37">
        <f>IFERROR(INDEX('Utrekning'!$B$2:$B$41,'Utrekning'!$D$39),"")</f>
        <v/>
      </c>
      <c r="C46" s="38">
        <f>IF($B46="","",COUNTIF(INDEX('Utrekning'!$E$2:$P$41,'Utrekning'!$D$39,0),3))</f>
        <v/>
      </c>
      <c r="D46" s="38">
        <f>IF($B46="","",COUNTIF(INDEX('Utrekning'!$E$2:$P$41,'Utrekning'!$D$39,0),2))</f>
        <v/>
      </c>
      <c r="E46" s="38">
        <f>IF($B46="","",COUNTIFS('Tiltak'!$B$2:$B$251,$C$5,'Tiltak'!$C$2:$C$251,$B46,'Tiltak'!$E$2:$E$251,"&lt;&gt;",'Tiltak'!$H$2:$H$251,"&lt;&gt;Avslutta",'Tiltak'!$H$2:$H$251,"&lt;&gt;Avsluttet"))</f>
        <v/>
      </c>
      <c r="F46" s="39">
        <f>IF(OR($B46="",INDEX('Utrekning'!$E$2:$E$41,'Utrekning'!$D$39)=0),"",CHOOSE(INDEX('Utrekning'!$E$2:$E$41,'Utrekning'!$D$39),"●","▲","■")&amp;IF(INDEX('Utrekning'!$AC$2:$AC$41,'Utrekning'!$D$39)&gt;1," "&amp;INDEX('Utrekning'!$AC$2:$AC$41,'Utrekning'!$D$39),"")&amp;IF($C$6="","",IF(INDEX('Utrekning'!$Q$2:$Q$41,'Utrekning'!$D$39)=0," ✱",IF(INDEX('Utrekning'!$E$2:$E$41,'Utrekning'!$D$39)&gt;INDEX('Utrekning'!$Q$2:$Q$41,'Utrekning'!$D$39)," ↑",IF(INDEX('Utrekning'!$E$2:$E$41,'Utrekning'!$D$39)&lt;INDEX('Utrekning'!$Q$2:$Q$41,'Utrekning'!$D$39)," ↓","")))))</f>
        <v/>
      </c>
      <c r="G46" s="39">
        <f>IF(OR($B46="",INDEX('Utrekning'!$F$2:$F$41,'Utrekning'!$D$39)=0),"",CHOOSE(INDEX('Utrekning'!$F$2:$F$41,'Utrekning'!$D$39),"●","▲","■")&amp;IF(INDEX('Utrekning'!$AD$2:$AD$41,'Utrekning'!$D$39)&gt;1," "&amp;INDEX('Utrekning'!$AD$2:$AD$41,'Utrekning'!$D$39),"")&amp;IF($C$6="","",IF(INDEX('Utrekning'!$R$2:$R$41,'Utrekning'!$D$39)=0," ✱",IF(INDEX('Utrekning'!$F$2:$F$41,'Utrekning'!$D$39)&gt;INDEX('Utrekning'!$R$2:$R$41,'Utrekning'!$D$39)," ↑",IF(INDEX('Utrekning'!$F$2:$F$41,'Utrekning'!$D$39)&lt;INDEX('Utrekning'!$R$2:$R$41,'Utrekning'!$D$39)," ↓","")))))</f>
        <v/>
      </c>
      <c r="H46" s="39">
        <f>IF(OR($B46="",INDEX('Utrekning'!$G$2:$G$41,'Utrekning'!$D$39)=0),"",CHOOSE(INDEX('Utrekning'!$G$2:$G$41,'Utrekning'!$D$39),"●","▲","■")&amp;IF(INDEX('Utrekning'!$AE$2:$AE$41,'Utrekning'!$D$39)&gt;1," "&amp;INDEX('Utrekning'!$AE$2:$AE$41,'Utrekning'!$D$39),"")&amp;IF($C$6="","",IF(INDEX('Utrekning'!$S$2:$S$41,'Utrekning'!$D$39)=0," ✱",IF(INDEX('Utrekning'!$G$2:$G$41,'Utrekning'!$D$39)&gt;INDEX('Utrekning'!$S$2:$S$41,'Utrekning'!$D$39)," ↑",IF(INDEX('Utrekning'!$G$2:$G$41,'Utrekning'!$D$39)&lt;INDEX('Utrekning'!$S$2:$S$41,'Utrekning'!$D$39)," ↓","")))))</f>
        <v/>
      </c>
      <c r="I46" s="39">
        <f>IF(OR($B46="",INDEX('Utrekning'!$H$2:$H$41,'Utrekning'!$D$39)=0),"",CHOOSE(INDEX('Utrekning'!$H$2:$H$41,'Utrekning'!$D$39),"●","▲","■")&amp;IF(INDEX('Utrekning'!$AF$2:$AF$41,'Utrekning'!$D$39)&gt;1," "&amp;INDEX('Utrekning'!$AF$2:$AF$41,'Utrekning'!$D$39),"")&amp;IF($C$6="","",IF(INDEX('Utrekning'!$T$2:$T$41,'Utrekning'!$D$39)=0," ✱",IF(INDEX('Utrekning'!$H$2:$H$41,'Utrekning'!$D$39)&gt;INDEX('Utrekning'!$T$2:$T$41,'Utrekning'!$D$39)," ↑",IF(INDEX('Utrekning'!$H$2:$H$41,'Utrekning'!$D$39)&lt;INDEX('Utrekning'!$T$2:$T$41,'Utrekning'!$D$39)," ↓","")))))</f>
        <v/>
      </c>
      <c r="J46" s="39">
        <f>IF(OR($B46="",INDEX('Utrekning'!$I$2:$I$41,'Utrekning'!$D$39)=0),"",CHOOSE(INDEX('Utrekning'!$I$2:$I$41,'Utrekning'!$D$39),"●","▲","■")&amp;IF(INDEX('Utrekning'!$AG$2:$AG$41,'Utrekning'!$D$39)&gt;1," "&amp;INDEX('Utrekning'!$AG$2:$AG$41,'Utrekning'!$D$39),"")&amp;IF($C$6="","",IF(INDEX('Utrekning'!$U$2:$U$41,'Utrekning'!$D$39)=0," ✱",IF(INDEX('Utrekning'!$I$2:$I$41,'Utrekning'!$D$39)&gt;INDEX('Utrekning'!$U$2:$U$41,'Utrekning'!$D$39)," ↑",IF(INDEX('Utrekning'!$I$2:$I$41,'Utrekning'!$D$39)&lt;INDEX('Utrekning'!$U$2:$U$41,'Utrekning'!$D$39)," ↓","")))))</f>
        <v/>
      </c>
      <c r="K46" s="39">
        <f>IF(OR($B46="",INDEX('Utrekning'!$J$2:$J$41,'Utrekning'!$D$39)=0),"",CHOOSE(INDEX('Utrekning'!$J$2:$J$41,'Utrekning'!$D$39),"●","▲","■")&amp;IF(INDEX('Utrekning'!$AH$2:$AH$41,'Utrekning'!$D$39)&gt;1," "&amp;INDEX('Utrekning'!$AH$2:$AH$41,'Utrekning'!$D$39),"")&amp;IF($C$6="","",IF(INDEX('Utrekning'!$V$2:$V$41,'Utrekning'!$D$39)=0," ✱",IF(INDEX('Utrekning'!$J$2:$J$41,'Utrekning'!$D$39)&gt;INDEX('Utrekning'!$V$2:$V$41,'Utrekning'!$D$39)," ↑",IF(INDEX('Utrekning'!$J$2:$J$41,'Utrekning'!$D$39)&lt;INDEX('Utrekning'!$V$2:$V$41,'Utrekning'!$D$39)," ↓","")))))</f>
        <v/>
      </c>
      <c r="L46" s="39">
        <f>IF(OR($B46="",INDEX('Utrekning'!$K$2:$K$41,'Utrekning'!$D$39)=0),"",CHOOSE(INDEX('Utrekning'!$K$2:$K$41,'Utrekning'!$D$39),"●","▲","■")&amp;IF(INDEX('Utrekning'!$AI$2:$AI$41,'Utrekning'!$D$39)&gt;1," "&amp;INDEX('Utrekning'!$AI$2:$AI$41,'Utrekning'!$D$39),"")&amp;IF($C$6="","",IF(INDEX('Utrekning'!$W$2:$W$41,'Utrekning'!$D$39)=0," ✱",IF(INDEX('Utrekning'!$K$2:$K$41,'Utrekning'!$D$39)&gt;INDEX('Utrekning'!$W$2:$W$41,'Utrekning'!$D$39)," ↑",IF(INDEX('Utrekning'!$K$2:$K$41,'Utrekning'!$D$39)&lt;INDEX('Utrekning'!$W$2:$W$41,'Utrekning'!$D$39)," ↓","")))))</f>
        <v/>
      </c>
      <c r="M46" s="39">
        <f>IF(OR($B46="",INDEX('Utrekning'!$L$2:$L$41,'Utrekning'!$D$39)=0),"",CHOOSE(INDEX('Utrekning'!$L$2:$L$41,'Utrekning'!$D$39),"●","▲","■")&amp;IF(INDEX('Utrekning'!$AJ$2:$AJ$41,'Utrekning'!$D$39)&gt;1," "&amp;INDEX('Utrekning'!$AJ$2:$AJ$41,'Utrekning'!$D$39),"")&amp;IF($C$6="","",IF(INDEX('Utrekning'!$X$2:$X$41,'Utrekning'!$D$39)=0," ✱",IF(INDEX('Utrekning'!$L$2:$L$41,'Utrekning'!$D$39)&gt;INDEX('Utrekning'!$X$2:$X$41,'Utrekning'!$D$39)," ↑",IF(INDEX('Utrekning'!$L$2:$L$41,'Utrekning'!$D$39)&lt;INDEX('Utrekning'!$X$2:$X$41,'Utrekning'!$D$39)," ↓","")))))</f>
        <v/>
      </c>
      <c r="N46" s="39">
        <f>IF(OR($B46="",INDEX('Utrekning'!$M$2:$M$41,'Utrekning'!$D$39)=0),"",CHOOSE(INDEX('Utrekning'!$M$2:$M$41,'Utrekning'!$D$39),"●","▲","■")&amp;IF(INDEX('Utrekning'!$AK$2:$AK$41,'Utrekning'!$D$39)&gt;1," "&amp;INDEX('Utrekning'!$AK$2:$AK$41,'Utrekning'!$D$39),"")&amp;IF($C$6="","",IF(INDEX('Utrekning'!$Y$2:$Y$41,'Utrekning'!$D$39)=0," ✱",IF(INDEX('Utrekning'!$M$2:$M$41,'Utrekning'!$D$39)&gt;INDEX('Utrekning'!$Y$2:$Y$41,'Utrekning'!$D$39)," ↑",IF(INDEX('Utrekning'!$M$2:$M$41,'Utrekning'!$D$39)&lt;INDEX('Utrekning'!$Y$2:$Y$41,'Utrekning'!$D$39)," ↓","")))))</f>
        <v/>
      </c>
      <c r="O46" s="39">
        <f>IF(OR($B46="",INDEX('Utrekning'!$N$2:$N$41,'Utrekning'!$D$39)=0),"",CHOOSE(INDEX('Utrekning'!$N$2:$N$41,'Utrekning'!$D$39),"●","▲","■")&amp;IF(INDEX('Utrekning'!$AL$2:$AL$41,'Utrekning'!$D$39)&gt;1," "&amp;INDEX('Utrekning'!$AL$2:$AL$41,'Utrekning'!$D$39),"")&amp;IF($C$6="","",IF(INDEX('Utrekning'!$Z$2:$Z$41,'Utrekning'!$D$39)=0," ✱",IF(INDEX('Utrekning'!$N$2:$N$41,'Utrekning'!$D$39)&gt;INDEX('Utrekning'!$Z$2:$Z$41,'Utrekning'!$D$39)," ↑",IF(INDEX('Utrekning'!$N$2:$N$41,'Utrekning'!$D$39)&lt;INDEX('Utrekning'!$Z$2:$Z$41,'Utrekning'!$D$39)," ↓","")))))</f>
        <v/>
      </c>
      <c r="P46" s="39">
        <f>IF(OR($B46="",INDEX('Utrekning'!$O$2:$O$41,'Utrekning'!$D$39)=0),"",CHOOSE(INDEX('Utrekning'!$O$2:$O$41,'Utrekning'!$D$39),"●","▲","■")&amp;IF(INDEX('Utrekning'!$AM$2:$AM$41,'Utrekning'!$D$39)&gt;1," "&amp;INDEX('Utrekning'!$AM$2:$AM$41,'Utrekning'!$D$39),"")&amp;IF($C$6="","",IF(INDEX('Utrekning'!$AA$2:$AA$41,'Utrekning'!$D$39)=0," ✱",IF(INDEX('Utrekning'!$O$2:$O$41,'Utrekning'!$D$39)&gt;INDEX('Utrekning'!$AA$2:$AA$41,'Utrekning'!$D$39)," ↑",IF(INDEX('Utrekning'!$O$2:$O$41,'Utrekning'!$D$39)&lt;INDEX('Utrekning'!$AA$2:$AA$41,'Utrekning'!$D$39)," ↓","")))))</f>
        <v/>
      </c>
      <c r="Q46" s="39">
        <f>IF(OR($B46="",INDEX('Utrekning'!$P$2:$P$41,'Utrekning'!$D$39)=0),"",CHOOSE(INDEX('Utrekning'!$P$2:$P$41,'Utrekning'!$D$39),"●","▲","■")&amp;IF(INDEX('Utrekning'!$AN$2:$AN$41,'Utrekning'!$D$39)&gt;1," "&amp;INDEX('Utrekning'!$AN$2:$AN$41,'Utrekning'!$D$39),"")&amp;IF($C$6="","",IF(INDEX('Utrekning'!$AB$2:$AB$41,'Utrekning'!$D$39)=0," ✱",IF(INDEX('Utrekning'!$P$2:$P$41,'Utrekning'!$D$39)&gt;INDEX('Utrekning'!$AB$2:$AB$41,'Utrekning'!$D$39)," ↑",IF(INDEX('Utrekning'!$P$2:$P$41,'Utrekning'!$D$39)&lt;INDEX('Utrekning'!$AB$2:$AB$41,'Utrekning'!$D$39)," ↓","")))))</f>
        <v/>
      </c>
    </row>
    <row r="47" ht="22" customHeight="1">
      <c r="B47" s="37">
        <f>IFERROR(INDEX('Utrekning'!$B$2:$B$41,'Utrekning'!$D$40),"")</f>
        <v/>
      </c>
      <c r="C47" s="38">
        <f>IF($B47="","",COUNTIF(INDEX('Utrekning'!$E$2:$P$41,'Utrekning'!$D$40,0),3))</f>
        <v/>
      </c>
      <c r="D47" s="38">
        <f>IF($B47="","",COUNTIF(INDEX('Utrekning'!$E$2:$P$41,'Utrekning'!$D$40,0),2))</f>
        <v/>
      </c>
      <c r="E47" s="38">
        <f>IF($B47="","",COUNTIFS('Tiltak'!$B$2:$B$251,$C$5,'Tiltak'!$C$2:$C$251,$B47,'Tiltak'!$E$2:$E$251,"&lt;&gt;",'Tiltak'!$H$2:$H$251,"&lt;&gt;Avslutta",'Tiltak'!$H$2:$H$251,"&lt;&gt;Avsluttet"))</f>
        <v/>
      </c>
      <c r="F47" s="39">
        <f>IF(OR($B47="",INDEX('Utrekning'!$E$2:$E$41,'Utrekning'!$D$40)=0),"",CHOOSE(INDEX('Utrekning'!$E$2:$E$41,'Utrekning'!$D$40),"●","▲","■")&amp;IF(INDEX('Utrekning'!$AC$2:$AC$41,'Utrekning'!$D$40)&gt;1," "&amp;INDEX('Utrekning'!$AC$2:$AC$41,'Utrekning'!$D$40),"")&amp;IF($C$6="","",IF(INDEX('Utrekning'!$Q$2:$Q$41,'Utrekning'!$D$40)=0," ✱",IF(INDEX('Utrekning'!$E$2:$E$41,'Utrekning'!$D$40)&gt;INDEX('Utrekning'!$Q$2:$Q$41,'Utrekning'!$D$40)," ↑",IF(INDEX('Utrekning'!$E$2:$E$41,'Utrekning'!$D$40)&lt;INDEX('Utrekning'!$Q$2:$Q$41,'Utrekning'!$D$40)," ↓","")))))</f>
        <v/>
      </c>
      <c r="G47" s="39">
        <f>IF(OR($B47="",INDEX('Utrekning'!$F$2:$F$41,'Utrekning'!$D$40)=0),"",CHOOSE(INDEX('Utrekning'!$F$2:$F$41,'Utrekning'!$D$40),"●","▲","■")&amp;IF(INDEX('Utrekning'!$AD$2:$AD$41,'Utrekning'!$D$40)&gt;1," "&amp;INDEX('Utrekning'!$AD$2:$AD$41,'Utrekning'!$D$40),"")&amp;IF($C$6="","",IF(INDEX('Utrekning'!$R$2:$R$41,'Utrekning'!$D$40)=0," ✱",IF(INDEX('Utrekning'!$F$2:$F$41,'Utrekning'!$D$40)&gt;INDEX('Utrekning'!$R$2:$R$41,'Utrekning'!$D$40)," ↑",IF(INDEX('Utrekning'!$F$2:$F$41,'Utrekning'!$D$40)&lt;INDEX('Utrekning'!$R$2:$R$41,'Utrekning'!$D$40)," ↓","")))))</f>
        <v/>
      </c>
      <c r="H47" s="39">
        <f>IF(OR($B47="",INDEX('Utrekning'!$G$2:$G$41,'Utrekning'!$D$40)=0),"",CHOOSE(INDEX('Utrekning'!$G$2:$G$41,'Utrekning'!$D$40),"●","▲","■")&amp;IF(INDEX('Utrekning'!$AE$2:$AE$41,'Utrekning'!$D$40)&gt;1," "&amp;INDEX('Utrekning'!$AE$2:$AE$41,'Utrekning'!$D$40),"")&amp;IF($C$6="","",IF(INDEX('Utrekning'!$S$2:$S$41,'Utrekning'!$D$40)=0," ✱",IF(INDEX('Utrekning'!$G$2:$G$41,'Utrekning'!$D$40)&gt;INDEX('Utrekning'!$S$2:$S$41,'Utrekning'!$D$40)," ↑",IF(INDEX('Utrekning'!$G$2:$G$41,'Utrekning'!$D$40)&lt;INDEX('Utrekning'!$S$2:$S$41,'Utrekning'!$D$40)," ↓","")))))</f>
        <v/>
      </c>
      <c r="I47" s="39">
        <f>IF(OR($B47="",INDEX('Utrekning'!$H$2:$H$41,'Utrekning'!$D$40)=0),"",CHOOSE(INDEX('Utrekning'!$H$2:$H$41,'Utrekning'!$D$40),"●","▲","■")&amp;IF(INDEX('Utrekning'!$AF$2:$AF$41,'Utrekning'!$D$40)&gt;1," "&amp;INDEX('Utrekning'!$AF$2:$AF$41,'Utrekning'!$D$40),"")&amp;IF($C$6="","",IF(INDEX('Utrekning'!$T$2:$T$41,'Utrekning'!$D$40)=0," ✱",IF(INDEX('Utrekning'!$H$2:$H$41,'Utrekning'!$D$40)&gt;INDEX('Utrekning'!$T$2:$T$41,'Utrekning'!$D$40)," ↑",IF(INDEX('Utrekning'!$H$2:$H$41,'Utrekning'!$D$40)&lt;INDEX('Utrekning'!$T$2:$T$41,'Utrekning'!$D$40)," ↓","")))))</f>
        <v/>
      </c>
      <c r="J47" s="39">
        <f>IF(OR($B47="",INDEX('Utrekning'!$I$2:$I$41,'Utrekning'!$D$40)=0),"",CHOOSE(INDEX('Utrekning'!$I$2:$I$41,'Utrekning'!$D$40),"●","▲","■")&amp;IF(INDEX('Utrekning'!$AG$2:$AG$41,'Utrekning'!$D$40)&gt;1," "&amp;INDEX('Utrekning'!$AG$2:$AG$41,'Utrekning'!$D$40),"")&amp;IF($C$6="","",IF(INDEX('Utrekning'!$U$2:$U$41,'Utrekning'!$D$40)=0," ✱",IF(INDEX('Utrekning'!$I$2:$I$41,'Utrekning'!$D$40)&gt;INDEX('Utrekning'!$U$2:$U$41,'Utrekning'!$D$40)," ↑",IF(INDEX('Utrekning'!$I$2:$I$41,'Utrekning'!$D$40)&lt;INDEX('Utrekning'!$U$2:$U$41,'Utrekning'!$D$40)," ↓","")))))</f>
        <v/>
      </c>
      <c r="K47" s="39">
        <f>IF(OR($B47="",INDEX('Utrekning'!$J$2:$J$41,'Utrekning'!$D$40)=0),"",CHOOSE(INDEX('Utrekning'!$J$2:$J$41,'Utrekning'!$D$40),"●","▲","■")&amp;IF(INDEX('Utrekning'!$AH$2:$AH$41,'Utrekning'!$D$40)&gt;1," "&amp;INDEX('Utrekning'!$AH$2:$AH$41,'Utrekning'!$D$40),"")&amp;IF($C$6="","",IF(INDEX('Utrekning'!$V$2:$V$41,'Utrekning'!$D$40)=0," ✱",IF(INDEX('Utrekning'!$J$2:$J$41,'Utrekning'!$D$40)&gt;INDEX('Utrekning'!$V$2:$V$41,'Utrekning'!$D$40)," ↑",IF(INDEX('Utrekning'!$J$2:$J$41,'Utrekning'!$D$40)&lt;INDEX('Utrekning'!$V$2:$V$41,'Utrekning'!$D$40)," ↓","")))))</f>
        <v/>
      </c>
      <c r="L47" s="39">
        <f>IF(OR($B47="",INDEX('Utrekning'!$K$2:$K$41,'Utrekning'!$D$40)=0),"",CHOOSE(INDEX('Utrekning'!$K$2:$K$41,'Utrekning'!$D$40),"●","▲","■")&amp;IF(INDEX('Utrekning'!$AI$2:$AI$41,'Utrekning'!$D$40)&gt;1," "&amp;INDEX('Utrekning'!$AI$2:$AI$41,'Utrekning'!$D$40),"")&amp;IF($C$6="","",IF(INDEX('Utrekning'!$W$2:$W$41,'Utrekning'!$D$40)=0," ✱",IF(INDEX('Utrekning'!$K$2:$K$41,'Utrekning'!$D$40)&gt;INDEX('Utrekning'!$W$2:$W$41,'Utrekning'!$D$40)," ↑",IF(INDEX('Utrekning'!$K$2:$K$41,'Utrekning'!$D$40)&lt;INDEX('Utrekning'!$W$2:$W$41,'Utrekning'!$D$40)," ↓","")))))</f>
        <v/>
      </c>
      <c r="M47" s="39">
        <f>IF(OR($B47="",INDEX('Utrekning'!$L$2:$L$41,'Utrekning'!$D$40)=0),"",CHOOSE(INDEX('Utrekning'!$L$2:$L$41,'Utrekning'!$D$40),"●","▲","■")&amp;IF(INDEX('Utrekning'!$AJ$2:$AJ$41,'Utrekning'!$D$40)&gt;1," "&amp;INDEX('Utrekning'!$AJ$2:$AJ$41,'Utrekning'!$D$40),"")&amp;IF($C$6="","",IF(INDEX('Utrekning'!$X$2:$X$41,'Utrekning'!$D$40)=0," ✱",IF(INDEX('Utrekning'!$L$2:$L$41,'Utrekning'!$D$40)&gt;INDEX('Utrekning'!$X$2:$X$41,'Utrekning'!$D$40)," ↑",IF(INDEX('Utrekning'!$L$2:$L$41,'Utrekning'!$D$40)&lt;INDEX('Utrekning'!$X$2:$X$41,'Utrekning'!$D$40)," ↓","")))))</f>
        <v/>
      </c>
      <c r="N47" s="39">
        <f>IF(OR($B47="",INDEX('Utrekning'!$M$2:$M$41,'Utrekning'!$D$40)=0),"",CHOOSE(INDEX('Utrekning'!$M$2:$M$41,'Utrekning'!$D$40),"●","▲","■")&amp;IF(INDEX('Utrekning'!$AK$2:$AK$41,'Utrekning'!$D$40)&gt;1," "&amp;INDEX('Utrekning'!$AK$2:$AK$41,'Utrekning'!$D$40),"")&amp;IF($C$6="","",IF(INDEX('Utrekning'!$Y$2:$Y$41,'Utrekning'!$D$40)=0," ✱",IF(INDEX('Utrekning'!$M$2:$M$41,'Utrekning'!$D$40)&gt;INDEX('Utrekning'!$Y$2:$Y$41,'Utrekning'!$D$40)," ↑",IF(INDEX('Utrekning'!$M$2:$M$41,'Utrekning'!$D$40)&lt;INDEX('Utrekning'!$Y$2:$Y$41,'Utrekning'!$D$40)," ↓","")))))</f>
        <v/>
      </c>
      <c r="O47" s="39">
        <f>IF(OR($B47="",INDEX('Utrekning'!$N$2:$N$41,'Utrekning'!$D$40)=0),"",CHOOSE(INDEX('Utrekning'!$N$2:$N$41,'Utrekning'!$D$40),"●","▲","■")&amp;IF(INDEX('Utrekning'!$AL$2:$AL$41,'Utrekning'!$D$40)&gt;1," "&amp;INDEX('Utrekning'!$AL$2:$AL$41,'Utrekning'!$D$40),"")&amp;IF($C$6="","",IF(INDEX('Utrekning'!$Z$2:$Z$41,'Utrekning'!$D$40)=0," ✱",IF(INDEX('Utrekning'!$N$2:$N$41,'Utrekning'!$D$40)&gt;INDEX('Utrekning'!$Z$2:$Z$41,'Utrekning'!$D$40)," ↑",IF(INDEX('Utrekning'!$N$2:$N$41,'Utrekning'!$D$40)&lt;INDEX('Utrekning'!$Z$2:$Z$41,'Utrekning'!$D$40)," ↓","")))))</f>
        <v/>
      </c>
      <c r="P47" s="39">
        <f>IF(OR($B47="",INDEX('Utrekning'!$O$2:$O$41,'Utrekning'!$D$40)=0),"",CHOOSE(INDEX('Utrekning'!$O$2:$O$41,'Utrekning'!$D$40),"●","▲","■")&amp;IF(INDEX('Utrekning'!$AM$2:$AM$41,'Utrekning'!$D$40)&gt;1," "&amp;INDEX('Utrekning'!$AM$2:$AM$41,'Utrekning'!$D$40),"")&amp;IF($C$6="","",IF(INDEX('Utrekning'!$AA$2:$AA$41,'Utrekning'!$D$40)=0," ✱",IF(INDEX('Utrekning'!$O$2:$O$41,'Utrekning'!$D$40)&gt;INDEX('Utrekning'!$AA$2:$AA$41,'Utrekning'!$D$40)," ↑",IF(INDEX('Utrekning'!$O$2:$O$41,'Utrekning'!$D$40)&lt;INDEX('Utrekning'!$AA$2:$AA$41,'Utrekning'!$D$40)," ↓","")))))</f>
        <v/>
      </c>
      <c r="Q47" s="39">
        <f>IF(OR($B47="",INDEX('Utrekning'!$P$2:$P$41,'Utrekning'!$D$40)=0),"",CHOOSE(INDEX('Utrekning'!$P$2:$P$41,'Utrekning'!$D$40),"●","▲","■")&amp;IF(INDEX('Utrekning'!$AN$2:$AN$41,'Utrekning'!$D$40)&gt;1," "&amp;INDEX('Utrekning'!$AN$2:$AN$41,'Utrekning'!$D$40),"")&amp;IF($C$6="","",IF(INDEX('Utrekning'!$AB$2:$AB$41,'Utrekning'!$D$40)=0," ✱",IF(INDEX('Utrekning'!$P$2:$P$41,'Utrekning'!$D$40)&gt;INDEX('Utrekning'!$AB$2:$AB$41,'Utrekning'!$D$40)," ↑",IF(INDEX('Utrekning'!$P$2:$P$41,'Utrekning'!$D$40)&lt;INDEX('Utrekning'!$AB$2:$AB$41,'Utrekning'!$D$40)," ↓","")))))</f>
        <v/>
      </c>
    </row>
    <row r="48" ht="22" customHeight="1">
      <c r="B48" s="37">
        <f>IFERROR(INDEX('Utrekning'!$B$2:$B$41,'Utrekning'!$D$41),"")</f>
        <v/>
      </c>
      <c r="C48" s="38">
        <f>IF($B48="","",COUNTIF(INDEX('Utrekning'!$E$2:$P$41,'Utrekning'!$D$41,0),3))</f>
        <v/>
      </c>
      <c r="D48" s="38">
        <f>IF($B48="","",COUNTIF(INDEX('Utrekning'!$E$2:$P$41,'Utrekning'!$D$41,0),2))</f>
        <v/>
      </c>
      <c r="E48" s="38">
        <f>IF($B48="","",COUNTIFS('Tiltak'!$B$2:$B$251,$C$5,'Tiltak'!$C$2:$C$251,$B48,'Tiltak'!$E$2:$E$251,"&lt;&gt;",'Tiltak'!$H$2:$H$251,"&lt;&gt;Avslutta",'Tiltak'!$H$2:$H$251,"&lt;&gt;Avsluttet"))</f>
        <v/>
      </c>
      <c r="F48" s="39">
        <f>IF(OR($B48="",INDEX('Utrekning'!$E$2:$E$41,'Utrekning'!$D$41)=0),"",CHOOSE(INDEX('Utrekning'!$E$2:$E$41,'Utrekning'!$D$41),"●","▲","■")&amp;IF(INDEX('Utrekning'!$AC$2:$AC$41,'Utrekning'!$D$41)&gt;1," "&amp;INDEX('Utrekning'!$AC$2:$AC$41,'Utrekning'!$D$41),"")&amp;IF($C$6="","",IF(INDEX('Utrekning'!$Q$2:$Q$41,'Utrekning'!$D$41)=0," ✱",IF(INDEX('Utrekning'!$E$2:$E$41,'Utrekning'!$D$41)&gt;INDEX('Utrekning'!$Q$2:$Q$41,'Utrekning'!$D$41)," ↑",IF(INDEX('Utrekning'!$E$2:$E$41,'Utrekning'!$D$41)&lt;INDEX('Utrekning'!$Q$2:$Q$41,'Utrekning'!$D$41)," ↓","")))))</f>
        <v/>
      </c>
      <c r="G48" s="39">
        <f>IF(OR($B48="",INDEX('Utrekning'!$F$2:$F$41,'Utrekning'!$D$41)=0),"",CHOOSE(INDEX('Utrekning'!$F$2:$F$41,'Utrekning'!$D$41),"●","▲","■")&amp;IF(INDEX('Utrekning'!$AD$2:$AD$41,'Utrekning'!$D$41)&gt;1," "&amp;INDEX('Utrekning'!$AD$2:$AD$41,'Utrekning'!$D$41),"")&amp;IF($C$6="","",IF(INDEX('Utrekning'!$R$2:$R$41,'Utrekning'!$D$41)=0," ✱",IF(INDEX('Utrekning'!$F$2:$F$41,'Utrekning'!$D$41)&gt;INDEX('Utrekning'!$R$2:$R$41,'Utrekning'!$D$41)," ↑",IF(INDEX('Utrekning'!$F$2:$F$41,'Utrekning'!$D$41)&lt;INDEX('Utrekning'!$R$2:$R$41,'Utrekning'!$D$41)," ↓","")))))</f>
        <v/>
      </c>
      <c r="H48" s="39">
        <f>IF(OR($B48="",INDEX('Utrekning'!$G$2:$G$41,'Utrekning'!$D$41)=0),"",CHOOSE(INDEX('Utrekning'!$G$2:$G$41,'Utrekning'!$D$41),"●","▲","■")&amp;IF(INDEX('Utrekning'!$AE$2:$AE$41,'Utrekning'!$D$41)&gt;1," "&amp;INDEX('Utrekning'!$AE$2:$AE$41,'Utrekning'!$D$41),"")&amp;IF($C$6="","",IF(INDEX('Utrekning'!$S$2:$S$41,'Utrekning'!$D$41)=0," ✱",IF(INDEX('Utrekning'!$G$2:$G$41,'Utrekning'!$D$41)&gt;INDEX('Utrekning'!$S$2:$S$41,'Utrekning'!$D$41)," ↑",IF(INDEX('Utrekning'!$G$2:$G$41,'Utrekning'!$D$41)&lt;INDEX('Utrekning'!$S$2:$S$41,'Utrekning'!$D$41)," ↓","")))))</f>
        <v/>
      </c>
      <c r="I48" s="39">
        <f>IF(OR($B48="",INDEX('Utrekning'!$H$2:$H$41,'Utrekning'!$D$41)=0),"",CHOOSE(INDEX('Utrekning'!$H$2:$H$41,'Utrekning'!$D$41),"●","▲","■")&amp;IF(INDEX('Utrekning'!$AF$2:$AF$41,'Utrekning'!$D$41)&gt;1," "&amp;INDEX('Utrekning'!$AF$2:$AF$41,'Utrekning'!$D$41),"")&amp;IF($C$6="","",IF(INDEX('Utrekning'!$T$2:$T$41,'Utrekning'!$D$41)=0," ✱",IF(INDEX('Utrekning'!$H$2:$H$41,'Utrekning'!$D$41)&gt;INDEX('Utrekning'!$T$2:$T$41,'Utrekning'!$D$41)," ↑",IF(INDEX('Utrekning'!$H$2:$H$41,'Utrekning'!$D$41)&lt;INDEX('Utrekning'!$T$2:$T$41,'Utrekning'!$D$41)," ↓","")))))</f>
        <v/>
      </c>
      <c r="J48" s="39">
        <f>IF(OR($B48="",INDEX('Utrekning'!$I$2:$I$41,'Utrekning'!$D$41)=0),"",CHOOSE(INDEX('Utrekning'!$I$2:$I$41,'Utrekning'!$D$41),"●","▲","■")&amp;IF(INDEX('Utrekning'!$AG$2:$AG$41,'Utrekning'!$D$41)&gt;1," "&amp;INDEX('Utrekning'!$AG$2:$AG$41,'Utrekning'!$D$41),"")&amp;IF($C$6="","",IF(INDEX('Utrekning'!$U$2:$U$41,'Utrekning'!$D$41)=0," ✱",IF(INDEX('Utrekning'!$I$2:$I$41,'Utrekning'!$D$41)&gt;INDEX('Utrekning'!$U$2:$U$41,'Utrekning'!$D$41)," ↑",IF(INDEX('Utrekning'!$I$2:$I$41,'Utrekning'!$D$41)&lt;INDEX('Utrekning'!$U$2:$U$41,'Utrekning'!$D$41)," ↓","")))))</f>
        <v/>
      </c>
      <c r="K48" s="39">
        <f>IF(OR($B48="",INDEX('Utrekning'!$J$2:$J$41,'Utrekning'!$D$41)=0),"",CHOOSE(INDEX('Utrekning'!$J$2:$J$41,'Utrekning'!$D$41),"●","▲","■")&amp;IF(INDEX('Utrekning'!$AH$2:$AH$41,'Utrekning'!$D$41)&gt;1," "&amp;INDEX('Utrekning'!$AH$2:$AH$41,'Utrekning'!$D$41),"")&amp;IF($C$6="","",IF(INDEX('Utrekning'!$V$2:$V$41,'Utrekning'!$D$41)=0," ✱",IF(INDEX('Utrekning'!$J$2:$J$41,'Utrekning'!$D$41)&gt;INDEX('Utrekning'!$V$2:$V$41,'Utrekning'!$D$41)," ↑",IF(INDEX('Utrekning'!$J$2:$J$41,'Utrekning'!$D$41)&lt;INDEX('Utrekning'!$V$2:$V$41,'Utrekning'!$D$41)," ↓","")))))</f>
        <v/>
      </c>
      <c r="L48" s="39">
        <f>IF(OR($B48="",INDEX('Utrekning'!$K$2:$K$41,'Utrekning'!$D$41)=0),"",CHOOSE(INDEX('Utrekning'!$K$2:$K$41,'Utrekning'!$D$41),"●","▲","■")&amp;IF(INDEX('Utrekning'!$AI$2:$AI$41,'Utrekning'!$D$41)&gt;1," "&amp;INDEX('Utrekning'!$AI$2:$AI$41,'Utrekning'!$D$41),"")&amp;IF($C$6="","",IF(INDEX('Utrekning'!$W$2:$W$41,'Utrekning'!$D$41)=0," ✱",IF(INDEX('Utrekning'!$K$2:$K$41,'Utrekning'!$D$41)&gt;INDEX('Utrekning'!$W$2:$W$41,'Utrekning'!$D$41)," ↑",IF(INDEX('Utrekning'!$K$2:$K$41,'Utrekning'!$D$41)&lt;INDEX('Utrekning'!$W$2:$W$41,'Utrekning'!$D$41)," ↓","")))))</f>
        <v/>
      </c>
      <c r="M48" s="39">
        <f>IF(OR($B48="",INDEX('Utrekning'!$L$2:$L$41,'Utrekning'!$D$41)=0),"",CHOOSE(INDEX('Utrekning'!$L$2:$L$41,'Utrekning'!$D$41),"●","▲","■")&amp;IF(INDEX('Utrekning'!$AJ$2:$AJ$41,'Utrekning'!$D$41)&gt;1," "&amp;INDEX('Utrekning'!$AJ$2:$AJ$41,'Utrekning'!$D$41),"")&amp;IF($C$6="","",IF(INDEX('Utrekning'!$X$2:$X$41,'Utrekning'!$D$41)=0," ✱",IF(INDEX('Utrekning'!$L$2:$L$41,'Utrekning'!$D$41)&gt;INDEX('Utrekning'!$X$2:$X$41,'Utrekning'!$D$41)," ↑",IF(INDEX('Utrekning'!$L$2:$L$41,'Utrekning'!$D$41)&lt;INDEX('Utrekning'!$X$2:$X$41,'Utrekning'!$D$41)," ↓","")))))</f>
        <v/>
      </c>
      <c r="N48" s="39">
        <f>IF(OR($B48="",INDEX('Utrekning'!$M$2:$M$41,'Utrekning'!$D$41)=0),"",CHOOSE(INDEX('Utrekning'!$M$2:$M$41,'Utrekning'!$D$41),"●","▲","■")&amp;IF(INDEX('Utrekning'!$AK$2:$AK$41,'Utrekning'!$D$41)&gt;1," "&amp;INDEX('Utrekning'!$AK$2:$AK$41,'Utrekning'!$D$41),"")&amp;IF($C$6="","",IF(INDEX('Utrekning'!$Y$2:$Y$41,'Utrekning'!$D$41)=0," ✱",IF(INDEX('Utrekning'!$M$2:$M$41,'Utrekning'!$D$41)&gt;INDEX('Utrekning'!$Y$2:$Y$41,'Utrekning'!$D$41)," ↑",IF(INDEX('Utrekning'!$M$2:$M$41,'Utrekning'!$D$41)&lt;INDEX('Utrekning'!$Y$2:$Y$41,'Utrekning'!$D$41)," ↓","")))))</f>
        <v/>
      </c>
      <c r="O48" s="39">
        <f>IF(OR($B48="",INDEX('Utrekning'!$N$2:$N$41,'Utrekning'!$D$41)=0),"",CHOOSE(INDEX('Utrekning'!$N$2:$N$41,'Utrekning'!$D$41),"●","▲","■")&amp;IF(INDEX('Utrekning'!$AL$2:$AL$41,'Utrekning'!$D$41)&gt;1," "&amp;INDEX('Utrekning'!$AL$2:$AL$41,'Utrekning'!$D$41),"")&amp;IF($C$6="","",IF(INDEX('Utrekning'!$Z$2:$Z$41,'Utrekning'!$D$41)=0," ✱",IF(INDEX('Utrekning'!$N$2:$N$41,'Utrekning'!$D$41)&gt;INDEX('Utrekning'!$Z$2:$Z$41,'Utrekning'!$D$41)," ↑",IF(INDEX('Utrekning'!$N$2:$N$41,'Utrekning'!$D$41)&lt;INDEX('Utrekning'!$Z$2:$Z$41,'Utrekning'!$D$41)," ↓","")))))</f>
        <v/>
      </c>
      <c r="P48" s="39">
        <f>IF(OR($B48="",INDEX('Utrekning'!$O$2:$O$41,'Utrekning'!$D$41)=0),"",CHOOSE(INDEX('Utrekning'!$O$2:$O$41,'Utrekning'!$D$41),"●","▲","■")&amp;IF(INDEX('Utrekning'!$AM$2:$AM$41,'Utrekning'!$D$41)&gt;1," "&amp;INDEX('Utrekning'!$AM$2:$AM$41,'Utrekning'!$D$41),"")&amp;IF($C$6="","",IF(INDEX('Utrekning'!$AA$2:$AA$41,'Utrekning'!$D$41)=0," ✱",IF(INDEX('Utrekning'!$O$2:$O$41,'Utrekning'!$D$41)&gt;INDEX('Utrekning'!$AA$2:$AA$41,'Utrekning'!$D$41)," ↑",IF(INDEX('Utrekning'!$O$2:$O$41,'Utrekning'!$D$41)&lt;INDEX('Utrekning'!$AA$2:$AA$41,'Utrekning'!$D$41)," ↓","")))))</f>
        <v/>
      </c>
      <c r="Q48" s="39">
        <f>IF(OR($B48="",INDEX('Utrekning'!$P$2:$P$41,'Utrekning'!$D$41)=0),"",CHOOSE(INDEX('Utrekning'!$P$2:$P$41,'Utrekning'!$D$41),"●","▲","■")&amp;IF(INDEX('Utrekning'!$AN$2:$AN$41,'Utrekning'!$D$41)&gt;1," "&amp;INDEX('Utrekning'!$AN$2:$AN$41,'Utrekning'!$D$41),"")&amp;IF($C$6="","",IF(INDEX('Utrekning'!$AB$2:$AB$41,'Utrekning'!$D$41)=0," ✱",IF(INDEX('Utrekning'!$P$2:$P$41,'Utrekning'!$D$41)&gt;INDEX('Utrekning'!$AB$2:$AB$41,'Utrekning'!$D$41)," ↑",IF(INDEX('Utrekning'!$P$2:$P$41,'Utrekning'!$D$41)&lt;INDEX('Utrekning'!$AB$2:$AB$41,'Utrekning'!$D$41)," ↓","")))))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mergeCells count="3">
    <mergeCell ref="C4:E4"/>
    <mergeCell ref="C6:E6"/>
    <mergeCell ref="C5:E5"/>
  </mergeCells>
  <conditionalFormatting sqref="F8:Q8">
    <cfRule type="expression" priority="1" dxfId="9">
      <formula>F8&lt;&gt;""</formula>
    </cfRule>
  </conditionalFormatting>
  <conditionalFormatting sqref="F9:Q48">
    <cfRule type="expression" priority="2" dxfId="10">
      <formula>LEFT(F9,1)="■"</formula>
    </cfRule>
    <cfRule type="expression" priority="3" dxfId="11">
      <formula>LEFT(F9,1)="▲"</formula>
    </cfRule>
    <cfRule type="expression" priority="4" dxfId="12">
      <formula>LEFT(F9,1)="●"</formula>
    </cfRule>
  </conditionalFormatting>
  <conditionalFormatting sqref="C9:C48">
    <cfRule type="expression" priority="5" dxfId="13">
      <formula>N(C9)&gt;0</formula>
    </cfRule>
  </conditionalFormatting>
  <conditionalFormatting sqref="D9:D48">
    <cfRule type="expression" priority="6" dxfId="14">
      <formula>N(D9)&gt;0</formula>
    </cfRule>
  </conditionalFormatting>
  <conditionalFormatting sqref="B9:B48">
    <cfRule type="expression" priority="7" dxfId="8">
      <formula>AND($B9&lt;&gt;"",SUMPRODUCT(LEN($F9:$Q9))=0)</formula>
    </cfRule>
  </conditionalFormatting>
  <conditionalFormatting sqref="B9:Q48">
    <cfRule type="expression" priority="8" dxfId="15">
      <formula>$B9&lt;&gt;""</formula>
    </cfRule>
  </conditionalFormatting>
  <dataValidations count="2">
    <dataValidation sqref="C4" showDropDown="0" showInputMessage="1" showErrorMessage="0" allowBlank="1" promptTitle="Velg fra lista" prompt="Hvilket møte vil du se?" type="list">
      <formula1>Moter</formula1>
    </dataValidation>
    <dataValidation sqref="C5" showDropDown="0" showInputMessage="1" showErrorMessage="0" allowBlank="1" promptTitle="Velg fra lista" prompt="Hvilken klasse vil du se?" type="list">
      <formula1>Klasser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G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64" customWidth="1" min="4" max="4"/>
    <col width="20" customWidth="1" min="5" max="5"/>
    <col width="16" customWidth="1" min="6" max="6"/>
    <col width="22" customWidth="1" min="7" max="7"/>
  </cols>
  <sheetData>
    <row r="2">
      <c r="B2" s="21" t="inlineStr">
        <is>
          <t>Elevkort</t>
        </is>
      </c>
    </row>
    <row r="4" ht="26" customHeight="1">
      <c r="B4" s="6" t="inlineStr">
        <is>
          <t>Elev</t>
        </is>
      </c>
      <c r="C4" s="40" t="inlineStr">
        <is>
          <t>Brage Settem</t>
        </is>
      </c>
      <c r="D4" s="41" t="n"/>
      <c r="E4" s="8" t="inlineStr">
        <is>
          <t>← vel her</t>
        </is>
      </c>
    </row>
    <row r="5">
      <c r="B5" s="6" t="inlineStr">
        <is>
          <t>Klasse</t>
        </is>
      </c>
      <c r="C5" s="10">
        <f>'Oversikt'!$C$5</f>
        <v/>
      </c>
      <c r="D5" s="8" t="inlineStr">
        <is>
          <t>Vel elev. Møte og klasse følgjer det som er valt på Oversikt-arket.</t>
        </is>
      </c>
    </row>
    <row r="6">
      <c r="B6" s="6" t="inlineStr">
        <is>
          <t>Møte</t>
        </is>
      </c>
      <c r="C6" s="10">
        <f>'Oversikt'!$C$4</f>
        <v/>
      </c>
    </row>
    <row r="8" ht="24" customHeight="1">
      <c r="B8" s="42" t="inlineStr">
        <is>
          <t>Område</t>
        </is>
      </c>
      <c r="C8" s="42" t="inlineStr">
        <is>
          <t>Lys</t>
        </is>
      </c>
      <c r="D8" s="42" t="inlineStr">
        <is>
          <t>Merknad</t>
        </is>
      </c>
      <c r="E8" s="42" t="inlineStr">
        <is>
          <t>Lærar</t>
        </is>
      </c>
    </row>
    <row r="9">
      <c r="B9" s="43">
        <f>IFERROR(INDEX('Innmelding'!$D$2:$D$701,MATCH(1,'Innmelding'!$I$2:$I$701,0))&amp;"","")</f>
        <v/>
      </c>
      <c r="C9" s="43">
        <f>IFERROR(INDEX('Innmelding'!$E$2:$E$701,MATCH(1,'Innmelding'!$I$2:$I$701,0))&amp;"","")</f>
        <v/>
      </c>
      <c r="D9" s="44">
        <f>IFERROR(INDEX('Innmelding'!$F$2:$F$701,MATCH(1,'Innmelding'!$I$2:$I$701,0))&amp;"","")</f>
        <v/>
      </c>
      <c r="E9" s="43">
        <f>IFERROR(INDEX('Innmelding'!$G$2:$G$701,MATCH(1,'Innmelding'!$I$2:$I$701,0))&amp;"","")</f>
        <v/>
      </c>
    </row>
    <row r="10">
      <c r="B10" s="43">
        <f>IFERROR(INDEX('Innmelding'!$D$2:$D$701,MATCH(2,'Innmelding'!$I$2:$I$701,0))&amp;"","")</f>
        <v/>
      </c>
      <c r="C10" s="43">
        <f>IFERROR(INDEX('Innmelding'!$E$2:$E$701,MATCH(2,'Innmelding'!$I$2:$I$701,0))&amp;"","")</f>
        <v/>
      </c>
      <c r="D10" s="44">
        <f>IFERROR(INDEX('Innmelding'!$F$2:$F$701,MATCH(2,'Innmelding'!$I$2:$I$701,0))&amp;"","")</f>
        <v/>
      </c>
      <c r="E10" s="43">
        <f>IFERROR(INDEX('Innmelding'!$G$2:$G$701,MATCH(2,'Innmelding'!$I$2:$I$701,0))&amp;"","")</f>
        <v/>
      </c>
    </row>
    <row r="11">
      <c r="B11" s="43">
        <f>IFERROR(INDEX('Innmelding'!$D$2:$D$701,MATCH(3,'Innmelding'!$I$2:$I$701,0))&amp;"","")</f>
        <v/>
      </c>
      <c r="C11" s="43">
        <f>IFERROR(INDEX('Innmelding'!$E$2:$E$701,MATCH(3,'Innmelding'!$I$2:$I$701,0))&amp;"","")</f>
        <v/>
      </c>
      <c r="D11" s="44">
        <f>IFERROR(INDEX('Innmelding'!$F$2:$F$701,MATCH(3,'Innmelding'!$I$2:$I$701,0))&amp;"","")</f>
        <v/>
      </c>
      <c r="E11" s="43">
        <f>IFERROR(INDEX('Innmelding'!$G$2:$G$701,MATCH(3,'Innmelding'!$I$2:$I$701,0))&amp;"","")</f>
        <v/>
      </c>
    </row>
    <row r="12">
      <c r="B12" s="43">
        <f>IFERROR(INDEX('Innmelding'!$D$2:$D$701,MATCH(4,'Innmelding'!$I$2:$I$701,0))&amp;"","")</f>
        <v/>
      </c>
      <c r="C12" s="43">
        <f>IFERROR(INDEX('Innmelding'!$E$2:$E$701,MATCH(4,'Innmelding'!$I$2:$I$701,0))&amp;"","")</f>
        <v/>
      </c>
      <c r="D12" s="44">
        <f>IFERROR(INDEX('Innmelding'!$F$2:$F$701,MATCH(4,'Innmelding'!$I$2:$I$701,0))&amp;"","")</f>
        <v/>
      </c>
      <c r="E12" s="43">
        <f>IFERROR(INDEX('Innmelding'!$G$2:$G$701,MATCH(4,'Innmelding'!$I$2:$I$701,0))&amp;"","")</f>
        <v/>
      </c>
    </row>
    <row r="13">
      <c r="B13" s="43">
        <f>IFERROR(INDEX('Innmelding'!$D$2:$D$701,MATCH(5,'Innmelding'!$I$2:$I$701,0))&amp;"","")</f>
        <v/>
      </c>
      <c r="C13" s="43">
        <f>IFERROR(INDEX('Innmelding'!$E$2:$E$701,MATCH(5,'Innmelding'!$I$2:$I$701,0))&amp;"","")</f>
        <v/>
      </c>
      <c r="D13" s="44">
        <f>IFERROR(INDEX('Innmelding'!$F$2:$F$701,MATCH(5,'Innmelding'!$I$2:$I$701,0))&amp;"","")</f>
        <v/>
      </c>
      <c r="E13" s="43">
        <f>IFERROR(INDEX('Innmelding'!$G$2:$G$701,MATCH(5,'Innmelding'!$I$2:$I$701,0))&amp;"","")</f>
        <v/>
      </c>
    </row>
    <row r="14">
      <c r="B14" s="43">
        <f>IFERROR(INDEX('Innmelding'!$D$2:$D$701,MATCH(6,'Innmelding'!$I$2:$I$701,0))&amp;"","")</f>
        <v/>
      </c>
      <c r="C14" s="43">
        <f>IFERROR(INDEX('Innmelding'!$E$2:$E$701,MATCH(6,'Innmelding'!$I$2:$I$701,0))&amp;"","")</f>
        <v/>
      </c>
      <c r="D14" s="44">
        <f>IFERROR(INDEX('Innmelding'!$F$2:$F$701,MATCH(6,'Innmelding'!$I$2:$I$701,0))&amp;"","")</f>
        <v/>
      </c>
      <c r="E14" s="43">
        <f>IFERROR(INDEX('Innmelding'!$G$2:$G$701,MATCH(6,'Innmelding'!$I$2:$I$701,0))&amp;"","")</f>
        <v/>
      </c>
    </row>
    <row r="15">
      <c r="B15" s="43">
        <f>IFERROR(INDEX('Innmelding'!$D$2:$D$701,MATCH(7,'Innmelding'!$I$2:$I$701,0))&amp;"","")</f>
        <v/>
      </c>
      <c r="C15" s="43">
        <f>IFERROR(INDEX('Innmelding'!$E$2:$E$701,MATCH(7,'Innmelding'!$I$2:$I$701,0))&amp;"","")</f>
        <v/>
      </c>
      <c r="D15" s="44">
        <f>IFERROR(INDEX('Innmelding'!$F$2:$F$701,MATCH(7,'Innmelding'!$I$2:$I$701,0))&amp;"","")</f>
        <v/>
      </c>
      <c r="E15" s="43">
        <f>IFERROR(INDEX('Innmelding'!$G$2:$G$701,MATCH(7,'Innmelding'!$I$2:$I$701,0))&amp;"","")</f>
        <v/>
      </c>
    </row>
    <row r="16">
      <c r="B16" s="43">
        <f>IFERROR(INDEX('Innmelding'!$D$2:$D$701,MATCH(8,'Innmelding'!$I$2:$I$701,0))&amp;"","")</f>
        <v/>
      </c>
      <c r="C16" s="43">
        <f>IFERROR(INDEX('Innmelding'!$E$2:$E$701,MATCH(8,'Innmelding'!$I$2:$I$701,0))&amp;"","")</f>
        <v/>
      </c>
      <c r="D16" s="44">
        <f>IFERROR(INDEX('Innmelding'!$F$2:$F$701,MATCH(8,'Innmelding'!$I$2:$I$701,0))&amp;"","")</f>
        <v/>
      </c>
      <c r="E16" s="43">
        <f>IFERROR(INDEX('Innmelding'!$G$2:$G$701,MATCH(8,'Innmelding'!$I$2:$I$701,0))&amp;"","")</f>
        <v/>
      </c>
    </row>
    <row r="17">
      <c r="B17" s="43">
        <f>IFERROR(INDEX('Innmelding'!$D$2:$D$701,MATCH(9,'Innmelding'!$I$2:$I$701,0))&amp;"","")</f>
        <v/>
      </c>
      <c r="C17" s="43">
        <f>IFERROR(INDEX('Innmelding'!$E$2:$E$701,MATCH(9,'Innmelding'!$I$2:$I$701,0))&amp;"","")</f>
        <v/>
      </c>
      <c r="D17" s="44">
        <f>IFERROR(INDEX('Innmelding'!$F$2:$F$701,MATCH(9,'Innmelding'!$I$2:$I$701,0))&amp;"","")</f>
        <v/>
      </c>
      <c r="E17" s="43">
        <f>IFERROR(INDEX('Innmelding'!$G$2:$G$701,MATCH(9,'Innmelding'!$I$2:$I$701,0))&amp;"","")</f>
        <v/>
      </c>
    </row>
    <row r="18">
      <c r="B18" s="43">
        <f>IFERROR(INDEX('Innmelding'!$D$2:$D$701,MATCH(10,'Innmelding'!$I$2:$I$701,0))&amp;"","")</f>
        <v/>
      </c>
      <c r="C18" s="43">
        <f>IFERROR(INDEX('Innmelding'!$E$2:$E$701,MATCH(10,'Innmelding'!$I$2:$I$701,0))&amp;"","")</f>
        <v/>
      </c>
      <c r="D18" s="44">
        <f>IFERROR(INDEX('Innmelding'!$F$2:$F$701,MATCH(10,'Innmelding'!$I$2:$I$701,0))&amp;"","")</f>
        <v/>
      </c>
      <c r="E18" s="43">
        <f>IFERROR(INDEX('Innmelding'!$G$2:$G$701,MATCH(10,'Innmelding'!$I$2:$I$701,0))&amp;"","")</f>
        <v/>
      </c>
    </row>
    <row r="19">
      <c r="B19" s="43">
        <f>IFERROR(INDEX('Innmelding'!$D$2:$D$701,MATCH(11,'Innmelding'!$I$2:$I$701,0))&amp;"","")</f>
        <v/>
      </c>
      <c r="C19" s="43">
        <f>IFERROR(INDEX('Innmelding'!$E$2:$E$701,MATCH(11,'Innmelding'!$I$2:$I$701,0))&amp;"","")</f>
        <v/>
      </c>
      <c r="D19" s="44">
        <f>IFERROR(INDEX('Innmelding'!$F$2:$F$701,MATCH(11,'Innmelding'!$I$2:$I$701,0))&amp;"","")</f>
        <v/>
      </c>
      <c r="E19" s="43">
        <f>IFERROR(INDEX('Innmelding'!$G$2:$G$701,MATCH(11,'Innmelding'!$I$2:$I$701,0))&amp;"","")</f>
        <v/>
      </c>
    </row>
    <row r="20">
      <c r="B20" s="43">
        <f>IFERROR(INDEX('Innmelding'!$D$2:$D$701,MATCH(12,'Innmelding'!$I$2:$I$701,0))&amp;"","")</f>
        <v/>
      </c>
      <c r="C20" s="43">
        <f>IFERROR(INDEX('Innmelding'!$E$2:$E$701,MATCH(12,'Innmelding'!$I$2:$I$701,0))&amp;"","")</f>
        <v/>
      </c>
      <c r="D20" s="44">
        <f>IFERROR(INDEX('Innmelding'!$F$2:$F$701,MATCH(12,'Innmelding'!$I$2:$I$701,0))&amp;"","")</f>
        <v/>
      </c>
      <c r="E20" s="43">
        <f>IFERROR(INDEX('Innmelding'!$G$2:$G$701,MATCH(12,'Innmelding'!$I$2:$I$701,0))&amp;"","")</f>
        <v/>
      </c>
    </row>
    <row r="21">
      <c r="B21" s="43">
        <f>IFERROR(INDEX('Innmelding'!$D$2:$D$701,MATCH(13,'Innmelding'!$I$2:$I$701,0))&amp;"","")</f>
        <v/>
      </c>
      <c r="C21" s="43">
        <f>IFERROR(INDEX('Innmelding'!$E$2:$E$701,MATCH(13,'Innmelding'!$I$2:$I$701,0))&amp;"","")</f>
        <v/>
      </c>
      <c r="D21" s="44">
        <f>IFERROR(INDEX('Innmelding'!$F$2:$F$701,MATCH(13,'Innmelding'!$I$2:$I$701,0))&amp;"","")</f>
        <v/>
      </c>
      <c r="E21" s="43">
        <f>IFERROR(INDEX('Innmelding'!$G$2:$G$701,MATCH(13,'Innmelding'!$I$2:$I$701,0))&amp;"","")</f>
        <v/>
      </c>
    </row>
    <row r="22">
      <c r="B22" s="43">
        <f>IFERROR(INDEX('Innmelding'!$D$2:$D$701,MATCH(14,'Innmelding'!$I$2:$I$701,0))&amp;"","")</f>
        <v/>
      </c>
      <c r="C22" s="43">
        <f>IFERROR(INDEX('Innmelding'!$E$2:$E$701,MATCH(14,'Innmelding'!$I$2:$I$701,0))&amp;"","")</f>
        <v/>
      </c>
      <c r="D22" s="44">
        <f>IFERROR(INDEX('Innmelding'!$F$2:$F$701,MATCH(14,'Innmelding'!$I$2:$I$701,0))&amp;"","")</f>
        <v/>
      </c>
      <c r="E22" s="43">
        <f>IFERROR(INDEX('Innmelding'!$G$2:$G$701,MATCH(14,'Innmelding'!$I$2:$I$701,0))&amp;"","")</f>
        <v/>
      </c>
    </row>
    <row r="23">
      <c r="B23" s="43">
        <f>IFERROR(INDEX('Innmelding'!$D$2:$D$701,MATCH(15,'Innmelding'!$I$2:$I$701,0))&amp;"","")</f>
        <v/>
      </c>
      <c r="C23" s="43">
        <f>IFERROR(INDEX('Innmelding'!$E$2:$E$701,MATCH(15,'Innmelding'!$I$2:$I$701,0))&amp;"","")</f>
        <v/>
      </c>
      <c r="D23" s="44">
        <f>IFERROR(INDEX('Innmelding'!$F$2:$F$701,MATCH(15,'Innmelding'!$I$2:$I$701,0))&amp;"","")</f>
        <v/>
      </c>
      <c r="E23" s="43">
        <f>IFERROR(INDEX('Innmelding'!$G$2:$G$701,MATCH(15,'Innmelding'!$I$2:$I$701,0))&amp;"","")</f>
        <v/>
      </c>
    </row>
    <row r="24">
      <c r="B24" s="43">
        <f>IFERROR(INDEX('Innmelding'!$D$2:$D$701,MATCH(16,'Innmelding'!$I$2:$I$701,0))&amp;"","")</f>
        <v/>
      </c>
      <c r="C24" s="43">
        <f>IFERROR(INDEX('Innmelding'!$E$2:$E$701,MATCH(16,'Innmelding'!$I$2:$I$701,0))&amp;"","")</f>
        <v/>
      </c>
      <c r="D24" s="44">
        <f>IFERROR(INDEX('Innmelding'!$F$2:$F$701,MATCH(16,'Innmelding'!$I$2:$I$701,0))&amp;"","")</f>
        <v/>
      </c>
      <c r="E24" s="43">
        <f>IFERROR(INDEX('Innmelding'!$G$2:$G$701,MATCH(16,'Innmelding'!$I$2:$I$701,0))&amp;"","")</f>
        <v/>
      </c>
    </row>
    <row r="25">
      <c r="B25" s="43">
        <f>IFERROR(INDEX('Innmelding'!$D$2:$D$701,MATCH(17,'Innmelding'!$I$2:$I$701,0))&amp;"","")</f>
        <v/>
      </c>
      <c r="C25" s="43">
        <f>IFERROR(INDEX('Innmelding'!$E$2:$E$701,MATCH(17,'Innmelding'!$I$2:$I$701,0))&amp;"","")</f>
        <v/>
      </c>
      <c r="D25" s="44">
        <f>IFERROR(INDEX('Innmelding'!$F$2:$F$701,MATCH(17,'Innmelding'!$I$2:$I$701,0))&amp;"","")</f>
        <v/>
      </c>
      <c r="E25" s="43">
        <f>IFERROR(INDEX('Innmelding'!$G$2:$G$701,MATCH(17,'Innmelding'!$I$2:$I$701,0))&amp;"","")</f>
        <v/>
      </c>
    </row>
    <row r="26">
      <c r="B26" s="43">
        <f>IFERROR(INDEX('Innmelding'!$D$2:$D$701,MATCH(18,'Innmelding'!$I$2:$I$701,0))&amp;"","")</f>
        <v/>
      </c>
      <c r="C26" s="43">
        <f>IFERROR(INDEX('Innmelding'!$E$2:$E$701,MATCH(18,'Innmelding'!$I$2:$I$701,0))&amp;"","")</f>
        <v/>
      </c>
      <c r="D26" s="44">
        <f>IFERROR(INDEX('Innmelding'!$F$2:$F$701,MATCH(18,'Innmelding'!$I$2:$I$701,0))&amp;"","")</f>
        <v/>
      </c>
      <c r="E26" s="43">
        <f>IFERROR(INDEX('Innmelding'!$G$2:$G$701,MATCH(18,'Innmelding'!$I$2:$I$701,0))&amp;"","")</f>
        <v/>
      </c>
    </row>
    <row r="27">
      <c r="B27" s="43">
        <f>IFERROR(INDEX('Innmelding'!$D$2:$D$701,MATCH(19,'Innmelding'!$I$2:$I$701,0))&amp;"","")</f>
        <v/>
      </c>
      <c r="C27" s="43">
        <f>IFERROR(INDEX('Innmelding'!$E$2:$E$701,MATCH(19,'Innmelding'!$I$2:$I$701,0))&amp;"","")</f>
        <v/>
      </c>
      <c r="D27" s="44">
        <f>IFERROR(INDEX('Innmelding'!$F$2:$F$701,MATCH(19,'Innmelding'!$I$2:$I$701,0))&amp;"","")</f>
        <v/>
      </c>
      <c r="E27" s="43">
        <f>IFERROR(INDEX('Innmelding'!$G$2:$G$701,MATCH(19,'Innmelding'!$I$2:$I$701,0))&amp;"","")</f>
        <v/>
      </c>
    </row>
    <row r="28">
      <c r="B28" s="43">
        <f>IFERROR(INDEX('Innmelding'!$D$2:$D$701,MATCH(20,'Innmelding'!$I$2:$I$701,0))&amp;"","")</f>
        <v/>
      </c>
      <c r="C28" s="43">
        <f>IFERROR(INDEX('Innmelding'!$E$2:$E$701,MATCH(20,'Innmelding'!$I$2:$I$701,0))&amp;"","")</f>
        <v/>
      </c>
      <c r="D28" s="44">
        <f>IFERROR(INDEX('Innmelding'!$F$2:$F$701,MATCH(20,'Innmelding'!$I$2:$I$701,0))&amp;"","")</f>
        <v/>
      </c>
      <c r="E28" s="43">
        <f>IFERROR(INDEX('Innmelding'!$G$2:$G$701,MATCH(20,'Innmelding'!$I$2:$I$701,0))&amp;"","")</f>
        <v/>
      </c>
    </row>
    <row r="30">
      <c r="B30" s="45" t="inlineStr">
        <is>
          <t>Tiltak</t>
        </is>
      </c>
    </row>
    <row r="31" ht="24" customHeight="1">
      <c r="B31" s="42" t="inlineStr">
        <is>
          <t>Område</t>
        </is>
      </c>
      <c r="C31" s="42" t="inlineStr">
        <is>
          <t>Møte</t>
        </is>
      </c>
      <c r="D31" s="42" t="inlineStr">
        <is>
          <t>Tiltak</t>
        </is>
      </c>
      <c r="E31" s="42" t="inlineStr">
        <is>
          <t>Ansvarleg</t>
        </is>
      </c>
      <c r="F31" s="42" t="inlineStr">
        <is>
          <t>Frist</t>
        </is>
      </c>
      <c r="G31" s="42" t="inlineStr">
        <is>
          <t>Status</t>
        </is>
      </c>
    </row>
    <row r="32">
      <c r="B32" s="43">
        <f>IFERROR(INDEX('Tiltak'!$D$2:$D$251,MATCH(1,'Tiltak'!$I$2:$I$251,0))&amp;"","")</f>
        <v/>
      </c>
      <c r="C32" s="43">
        <f>IFERROR(INDEX('Tiltak'!$A$2:$A$251,MATCH(1,'Tiltak'!$I$2:$I$251,0))&amp;"","")</f>
        <v/>
      </c>
      <c r="D32" s="44">
        <f>IFERROR(INDEX('Tiltak'!$E$2:$E$251,MATCH(1,'Tiltak'!$I$2:$I$251,0))&amp;"","")</f>
        <v/>
      </c>
      <c r="E32" s="43">
        <f>IFERROR(INDEX('Tiltak'!$F$2:$F$251,MATCH(1,'Tiltak'!$I$2:$I$251,0))&amp;"","")</f>
        <v/>
      </c>
      <c r="F32" s="46">
        <f>IFERROR(IF(INDEX('Tiltak'!$G$2:$G$251,MATCH(1,'Tiltak'!$I$2:$I$251,0))="","",INDEX('Tiltak'!$G$2:$G$251,MATCH(1,'Tiltak'!$I$2:$I$251,0))),"")</f>
        <v/>
      </c>
      <c r="G32" s="43">
        <f>IFERROR(INDEX('Tiltak'!$H$2:$H$251,MATCH(1,'Tiltak'!$I$2:$I$251,0))&amp;"","")</f>
        <v/>
      </c>
    </row>
    <row r="33">
      <c r="B33" s="43">
        <f>IFERROR(INDEX('Tiltak'!$D$2:$D$251,MATCH(2,'Tiltak'!$I$2:$I$251,0))&amp;"","")</f>
        <v/>
      </c>
      <c r="C33" s="43">
        <f>IFERROR(INDEX('Tiltak'!$A$2:$A$251,MATCH(2,'Tiltak'!$I$2:$I$251,0))&amp;"","")</f>
        <v/>
      </c>
      <c r="D33" s="44">
        <f>IFERROR(INDEX('Tiltak'!$E$2:$E$251,MATCH(2,'Tiltak'!$I$2:$I$251,0))&amp;"","")</f>
        <v/>
      </c>
      <c r="E33" s="43">
        <f>IFERROR(INDEX('Tiltak'!$F$2:$F$251,MATCH(2,'Tiltak'!$I$2:$I$251,0))&amp;"","")</f>
        <v/>
      </c>
      <c r="F33" s="46">
        <f>IFERROR(IF(INDEX('Tiltak'!$G$2:$G$251,MATCH(2,'Tiltak'!$I$2:$I$251,0))="","",INDEX('Tiltak'!$G$2:$G$251,MATCH(2,'Tiltak'!$I$2:$I$251,0))),"")</f>
        <v/>
      </c>
      <c r="G33" s="43">
        <f>IFERROR(INDEX('Tiltak'!$H$2:$H$251,MATCH(2,'Tiltak'!$I$2:$I$251,0))&amp;"","")</f>
        <v/>
      </c>
    </row>
    <row r="34">
      <c r="B34" s="43">
        <f>IFERROR(INDEX('Tiltak'!$D$2:$D$251,MATCH(3,'Tiltak'!$I$2:$I$251,0))&amp;"","")</f>
        <v/>
      </c>
      <c r="C34" s="43">
        <f>IFERROR(INDEX('Tiltak'!$A$2:$A$251,MATCH(3,'Tiltak'!$I$2:$I$251,0))&amp;"","")</f>
        <v/>
      </c>
      <c r="D34" s="44">
        <f>IFERROR(INDEX('Tiltak'!$E$2:$E$251,MATCH(3,'Tiltak'!$I$2:$I$251,0))&amp;"","")</f>
        <v/>
      </c>
      <c r="E34" s="43">
        <f>IFERROR(INDEX('Tiltak'!$F$2:$F$251,MATCH(3,'Tiltak'!$I$2:$I$251,0))&amp;"","")</f>
        <v/>
      </c>
      <c r="F34" s="46">
        <f>IFERROR(IF(INDEX('Tiltak'!$G$2:$G$251,MATCH(3,'Tiltak'!$I$2:$I$251,0))="","",INDEX('Tiltak'!$G$2:$G$251,MATCH(3,'Tiltak'!$I$2:$I$251,0))),"")</f>
        <v/>
      </c>
      <c r="G34" s="43">
        <f>IFERROR(INDEX('Tiltak'!$H$2:$H$251,MATCH(3,'Tiltak'!$I$2:$I$251,0))&amp;"","")</f>
        <v/>
      </c>
    </row>
    <row r="35">
      <c r="B35" s="43">
        <f>IFERROR(INDEX('Tiltak'!$D$2:$D$251,MATCH(4,'Tiltak'!$I$2:$I$251,0))&amp;"","")</f>
        <v/>
      </c>
      <c r="C35" s="43">
        <f>IFERROR(INDEX('Tiltak'!$A$2:$A$251,MATCH(4,'Tiltak'!$I$2:$I$251,0))&amp;"","")</f>
        <v/>
      </c>
      <c r="D35" s="44">
        <f>IFERROR(INDEX('Tiltak'!$E$2:$E$251,MATCH(4,'Tiltak'!$I$2:$I$251,0))&amp;"","")</f>
        <v/>
      </c>
      <c r="E35" s="43">
        <f>IFERROR(INDEX('Tiltak'!$F$2:$F$251,MATCH(4,'Tiltak'!$I$2:$I$251,0))&amp;"","")</f>
        <v/>
      </c>
      <c r="F35" s="46">
        <f>IFERROR(IF(INDEX('Tiltak'!$G$2:$G$251,MATCH(4,'Tiltak'!$I$2:$I$251,0))="","",INDEX('Tiltak'!$G$2:$G$251,MATCH(4,'Tiltak'!$I$2:$I$251,0))),"")</f>
        <v/>
      </c>
      <c r="G35" s="43">
        <f>IFERROR(INDEX('Tiltak'!$H$2:$H$251,MATCH(4,'Tiltak'!$I$2:$I$251,0))&amp;"","")</f>
        <v/>
      </c>
    </row>
    <row r="36">
      <c r="B36" s="43">
        <f>IFERROR(INDEX('Tiltak'!$D$2:$D$251,MATCH(5,'Tiltak'!$I$2:$I$251,0))&amp;"","")</f>
        <v/>
      </c>
      <c r="C36" s="43">
        <f>IFERROR(INDEX('Tiltak'!$A$2:$A$251,MATCH(5,'Tiltak'!$I$2:$I$251,0))&amp;"","")</f>
        <v/>
      </c>
      <c r="D36" s="44">
        <f>IFERROR(INDEX('Tiltak'!$E$2:$E$251,MATCH(5,'Tiltak'!$I$2:$I$251,0))&amp;"","")</f>
        <v/>
      </c>
      <c r="E36" s="43">
        <f>IFERROR(INDEX('Tiltak'!$F$2:$F$251,MATCH(5,'Tiltak'!$I$2:$I$251,0))&amp;"","")</f>
        <v/>
      </c>
      <c r="F36" s="46">
        <f>IFERROR(IF(INDEX('Tiltak'!$G$2:$G$251,MATCH(5,'Tiltak'!$I$2:$I$251,0))="","",INDEX('Tiltak'!$G$2:$G$251,MATCH(5,'Tiltak'!$I$2:$I$251,0))),"")</f>
        <v/>
      </c>
      <c r="G36" s="43">
        <f>IFERROR(INDEX('Tiltak'!$H$2:$H$251,MATCH(5,'Tiltak'!$I$2:$I$251,0))&amp;"","")</f>
        <v/>
      </c>
    </row>
    <row r="37">
      <c r="B37" s="43">
        <f>IFERROR(INDEX('Tiltak'!$D$2:$D$251,MATCH(6,'Tiltak'!$I$2:$I$251,0))&amp;"","")</f>
        <v/>
      </c>
      <c r="C37" s="43">
        <f>IFERROR(INDEX('Tiltak'!$A$2:$A$251,MATCH(6,'Tiltak'!$I$2:$I$251,0))&amp;"","")</f>
        <v/>
      </c>
      <c r="D37" s="44">
        <f>IFERROR(INDEX('Tiltak'!$E$2:$E$251,MATCH(6,'Tiltak'!$I$2:$I$251,0))&amp;"","")</f>
        <v/>
      </c>
      <c r="E37" s="43">
        <f>IFERROR(INDEX('Tiltak'!$F$2:$F$251,MATCH(6,'Tiltak'!$I$2:$I$251,0))&amp;"","")</f>
        <v/>
      </c>
      <c r="F37" s="46">
        <f>IFERROR(IF(INDEX('Tiltak'!$G$2:$G$251,MATCH(6,'Tiltak'!$I$2:$I$251,0))="","",INDEX('Tiltak'!$G$2:$G$251,MATCH(6,'Tiltak'!$I$2:$I$251,0))),"")</f>
        <v/>
      </c>
      <c r="G37" s="43">
        <f>IFERROR(INDEX('Tiltak'!$H$2:$H$251,MATCH(6,'Tiltak'!$I$2:$I$251,0))&amp;"","")</f>
        <v/>
      </c>
    </row>
    <row r="38">
      <c r="B38" s="43">
        <f>IFERROR(INDEX('Tiltak'!$D$2:$D$251,MATCH(7,'Tiltak'!$I$2:$I$251,0))&amp;"","")</f>
        <v/>
      </c>
      <c r="C38" s="43">
        <f>IFERROR(INDEX('Tiltak'!$A$2:$A$251,MATCH(7,'Tiltak'!$I$2:$I$251,0))&amp;"","")</f>
        <v/>
      </c>
      <c r="D38" s="44">
        <f>IFERROR(INDEX('Tiltak'!$E$2:$E$251,MATCH(7,'Tiltak'!$I$2:$I$251,0))&amp;"","")</f>
        <v/>
      </c>
      <c r="E38" s="43">
        <f>IFERROR(INDEX('Tiltak'!$F$2:$F$251,MATCH(7,'Tiltak'!$I$2:$I$251,0))&amp;"","")</f>
        <v/>
      </c>
      <c r="F38" s="46">
        <f>IFERROR(IF(INDEX('Tiltak'!$G$2:$G$251,MATCH(7,'Tiltak'!$I$2:$I$251,0))="","",INDEX('Tiltak'!$G$2:$G$251,MATCH(7,'Tiltak'!$I$2:$I$251,0))),"")</f>
        <v/>
      </c>
      <c r="G38" s="43">
        <f>IFERROR(INDEX('Tiltak'!$H$2:$H$251,MATCH(7,'Tiltak'!$I$2:$I$251,0))&amp;"","")</f>
        <v/>
      </c>
    </row>
    <row r="39">
      <c r="B39" s="43">
        <f>IFERROR(INDEX('Tiltak'!$D$2:$D$251,MATCH(8,'Tiltak'!$I$2:$I$251,0))&amp;"","")</f>
        <v/>
      </c>
      <c r="C39" s="43">
        <f>IFERROR(INDEX('Tiltak'!$A$2:$A$251,MATCH(8,'Tiltak'!$I$2:$I$251,0))&amp;"","")</f>
        <v/>
      </c>
      <c r="D39" s="44">
        <f>IFERROR(INDEX('Tiltak'!$E$2:$E$251,MATCH(8,'Tiltak'!$I$2:$I$251,0))&amp;"","")</f>
        <v/>
      </c>
      <c r="E39" s="43">
        <f>IFERROR(INDEX('Tiltak'!$F$2:$F$251,MATCH(8,'Tiltak'!$I$2:$I$251,0))&amp;"","")</f>
        <v/>
      </c>
      <c r="F39" s="46">
        <f>IFERROR(IF(INDEX('Tiltak'!$G$2:$G$251,MATCH(8,'Tiltak'!$I$2:$I$251,0))="","",INDEX('Tiltak'!$G$2:$G$251,MATCH(8,'Tiltak'!$I$2:$I$251,0))),"")</f>
        <v/>
      </c>
      <c r="G39" s="43">
        <f>IFERROR(INDEX('Tiltak'!$H$2:$H$251,MATCH(8,'Tiltak'!$I$2:$I$251,0))&amp;"","")</f>
        <v/>
      </c>
    </row>
    <row r="40">
      <c r="B40" s="43">
        <f>IFERROR(INDEX('Tiltak'!$D$2:$D$251,MATCH(9,'Tiltak'!$I$2:$I$251,0))&amp;"","")</f>
        <v/>
      </c>
      <c r="C40" s="43">
        <f>IFERROR(INDEX('Tiltak'!$A$2:$A$251,MATCH(9,'Tiltak'!$I$2:$I$251,0))&amp;"","")</f>
        <v/>
      </c>
      <c r="D40" s="44">
        <f>IFERROR(INDEX('Tiltak'!$E$2:$E$251,MATCH(9,'Tiltak'!$I$2:$I$251,0))&amp;"","")</f>
        <v/>
      </c>
      <c r="E40" s="43">
        <f>IFERROR(INDEX('Tiltak'!$F$2:$F$251,MATCH(9,'Tiltak'!$I$2:$I$251,0))&amp;"","")</f>
        <v/>
      </c>
      <c r="F40" s="46">
        <f>IFERROR(IF(INDEX('Tiltak'!$G$2:$G$251,MATCH(9,'Tiltak'!$I$2:$I$251,0))="","",INDEX('Tiltak'!$G$2:$G$251,MATCH(9,'Tiltak'!$I$2:$I$251,0))),"")</f>
        <v/>
      </c>
      <c r="G40" s="43">
        <f>IFERROR(INDEX('Tiltak'!$H$2:$H$251,MATCH(9,'Tiltak'!$I$2:$I$251,0))&amp;"","")</f>
        <v/>
      </c>
    </row>
    <row r="41">
      <c r="B41" s="43">
        <f>IFERROR(INDEX('Tiltak'!$D$2:$D$251,MATCH(10,'Tiltak'!$I$2:$I$251,0))&amp;"","")</f>
        <v/>
      </c>
      <c r="C41" s="43">
        <f>IFERROR(INDEX('Tiltak'!$A$2:$A$251,MATCH(10,'Tiltak'!$I$2:$I$251,0))&amp;"","")</f>
        <v/>
      </c>
      <c r="D41" s="44">
        <f>IFERROR(INDEX('Tiltak'!$E$2:$E$251,MATCH(10,'Tiltak'!$I$2:$I$251,0))&amp;"","")</f>
        <v/>
      </c>
      <c r="E41" s="43">
        <f>IFERROR(INDEX('Tiltak'!$F$2:$F$251,MATCH(10,'Tiltak'!$I$2:$I$251,0))&amp;"","")</f>
        <v/>
      </c>
      <c r="F41" s="46">
        <f>IFERROR(IF(INDEX('Tiltak'!$G$2:$G$251,MATCH(10,'Tiltak'!$I$2:$I$251,0))="","",INDEX('Tiltak'!$G$2:$G$251,MATCH(10,'Tiltak'!$I$2:$I$251,0))),"")</f>
        <v/>
      </c>
      <c r="G41" s="43">
        <f>IFERROR(INDEX('Tiltak'!$H$2:$H$251,MATCH(10,'Tiltak'!$I$2:$I$251,0))&amp;"","")</f>
        <v/>
      </c>
    </row>
    <row r="42">
      <c r="B42" s="43">
        <f>IFERROR(INDEX('Tiltak'!$D$2:$D$251,MATCH(11,'Tiltak'!$I$2:$I$251,0))&amp;"","")</f>
        <v/>
      </c>
      <c r="C42" s="43">
        <f>IFERROR(INDEX('Tiltak'!$A$2:$A$251,MATCH(11,'Tiltak'!$I$2:$I$251,0))&amp;"","")</f>
        <v/>
      </c>
      <c r="D42" s="44">
        <f>IFERROR(INDEX('Tiltak'!$E$2:$E$251,MATCH(11,'Tiltak'!$I$2:$I$251,0))&amp;"","")</f>
        <v/>
      </c>
      <c r="E42" s="43">
        <f>IFERROR(INDEX('Tiltak'!$F$2:$F$251,MATCH(11,'Tiltak'!$I$2:$I$251,0))&amp;"","")</f>
        <v/>
      </c>
      <c r="F42" s="46">
        <f>IFERROR(IF(INDEX('Tiltak'!$G$2:$G$251,MATCH(11,'Tiltak'!$I$2:$I$251,0))="","",INDEX('Tiltak'!$G$2:$G$251,MATCH(11,'Tiltak'!$I$2:$I$251,0))),"")</f>
        <v/>
      </c>
      <c r="G42" s="43">
        <f>IFERROR(INDEX('Tiltak'!$H$2:$H$251,MATCH(11,'Tiltak'!$I$2:$I$251,0))&amp;"","")</f>
        <v/>
      </c>
    </row>
    <row r="43">
      <c r="B43" s="43">
        <f>IFERROR(INDEX('Tiltak'!$D$2:$D$251,MATCH(12,'Tiltak'!$I$2:$I$251,0))&amp;"","")</f>
        <v/>
      </c>
      <c r="C43" s="43">
        <f>IFERROR(INDEX('Tiltak'!$A$2:$A$251,MATCH(12,'Tiltak'!$I$2:$I$251,0))&amp;"","")</f>
        <v/>
      </c>
      <c r="D43" s="44">
        <f>IFERROR(INDEX('Tiltak'!$E$2:$E$251,MATCH(12,'Tiltak'!$I$2:$I$251,0))&amp;"","")</f>
        <v/>
      </c>
      <c r="E43" s="43">
        <f>IFERROR(INDEX('Tiltak'!$F$2:$F$251,MATCH(12,'Tiltak'!$I$2:$I$251,0))&amp;"","")</f>
        <v/>
      </c>
      <c r="F43" s="46">
        <f>IFERROR(IF(INDEX('Tiltak'!$G$2:$G$251,MATCH(12,'Tiltak'!$I$2:$I$251,0))="","",INDEX('Tiltak'!$G$2:$G$251,MATCH(12,'Tiltak'!$I$2:$I$251,0))),"")</f>
        <v/>
      </c>
      <c r="G43" s="43">
        <f>IFERROR(INDEX('Tiltak'!$H$2:$H$251,MATCH(12,'Tiltak'!$I$2:$I$251,0))&amp;"","")</f>
        <v/>
      </c>
    </row>
    <row r="44">
      <c r="B44" s="43">
        <f>IFERROR(INDEX('Tiltak'!$D$2:$D$251,MATCH(13,'Tiltak'!$I$2:$I$251,0))&amp;"","")</f>
        <v/>
      </c>
      <c r="C44" s="43">
        <f>IFERROR(INDEX('Tiltak'!$A$2:$A$251,MATCH(13,'Tiltak'!$I$2:$I$251,0))&amp;"","")</f>
        <v/>
      </c>
      <c r="D44" s="44">
        <f>IFERROR(INDEX('Tiltak'!$E$2:$E$251,MATCH(13,'Tiltak'!$I$2:$I$251,0))&amp;"","")</f>
        <v/>
      </c>
      <c r="E44" s="43">
        <f>IFERROR(INDEX('Tiltak'!$F$2:$F$251,MATCH(13,'Tiltak'!$I$2:$I$251,0))&amp;"","")</f>
        <v/>
      </c>
      <c r="F44" s="46">
        <f>IFERROR(IF(INDEX('Tiltak'!$G$2:$G$251,MATCH(13,'Tiltak'!$I$2:$I$251,0))="","",INDEX('Tiltak'!$G$2:$G$251,MATCH(13,'Tiltak'!$I$2:$I$251,0))),"")</f>
        <v/>
      </c>
      <c r="G44" s="43">
        <f>IFERROR(INDEX('Tiltak'!$H$2:$H$251,MATCH(13,'Tiltak'!$I$2:$I$251,0))&amp;"","")</f>
        <v/>
      </c>
    </row>
    <row r="45">
      <c r="B45" s="43">
        <f>IFERROR(INDEX('Tiltak'!$D$2:$D$251,MATCH(14,'Tiltak'!$I$2:$I$251,0))&amp;"","")</f>
        <v/>
      </c>
      <c r="C45" s="43">
        <f>IFERROR(INDEX('Tiltak'!$A$2:$A$251,MATCH(14,'Tiltak'!$I$2:$I$251,0))&amp;"","")</f>
        <v/>
      </c>
      <c r="D45" s="44">
        <f>IFERROR(INDEX('Tiltak'!$E$2:$E$251,MATCH(14,'Tiltak'!$I$2:$I$251,0))&amp;"","")</f>
        <v/>
      </c>
      <c r="E45" s="43">
        <f>IFERROR(INDEX('Tiltak'!$F$2:$F$251,MATCH(14,'Tiltak'!$I$2:$I$251,0))&amp;"","")</f>
        <v/>
      </c>
      <c r="F45" s="46">
        <f>IFERROR(IF(INDEX('Tiltak'!$G$2:$G$251,MATCH(14,'Tiltak'!$I$2:$I$251,0))="","",INDEX('Tiltak'!$G$2:$G$251,MATCH(14,'Tiltak'!$I$2:$I$251,0))),"")</f>
        <v/>
      </c>
      <c r="G45" s="43">
        <f>IFERROR(INDEX('Tiltak'!$H$2:$H$251,MATCH(14,'Tiltak'!$I$2:$I$251,0))&amp;"","")</f>
        <v/>
      </c>
    </row>
    <row r="46">
      <c r="B46" s="43">
        <f>IFERROR(INDEX('Tiltak'!$D$2:$D$251,MATCH(15,'Tiltak'!$I$2:$I$251,0))&amp;"","")</f>
        <v/>
      </c>
      <c r="C46" s="43">
        <f>IFERROR(INDEX('Tiltak'!$A$2:$A$251,MATCH(15,'Tiltak'!$I$2:$I$251,0))&amp;"","")</f>
        <v/>
      </c>
      <c r="D46" s="44">
        <f>IFERROR(INDEX('Tiltak'!$E$2:$E$251,MATCH(15,'Tiltak'!$I$2:$I$251,0))&amp;"","")</f>
        <v/>
      </c>
      <c r="E46" s="43">
        <f>IFERROR(INDEX('Tiltak'!$F$2:$F$251,MATCH(15,'Tiltak'!$I$2:$I$251,0))&amp;"","")</f>
        <v/>
      </c>
      <c r="F46" s="46">
        <f>IFERROR(IF(INDEX('Tiltak'!$G$2:$G$251,MATCH(15,'Tiltak'!$I$2:$I$251,0))="","",INDEX('Tiltak'!$G$2:$G$251,MATCH(15,'Tiltak'!$I$2:$I$251,0))),"")</f>
        <v/>
      </c>
      <c r="G46" s="43">
        <f>IFERROR(INDEX('Tiltak'!$H$2:$H$251,MATCH(15,'Tiltak'!$I$2:$I$251,0))&amp;"","")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C4:D4"/>
  </mergeCells>
  <conditionalFormatting sqref="C9:C28">
    <cfRule type="expression" priority="1" dxfId="0" stopIfTrue="0">
      <formula>OR(EXACT($C9,"Grønt"))</formula>
    </cfRule>
    <cfRule type="expression" priority="3" dxfId="1" stopIfTrue="0">
      <formula>OR(EXACT($C9,"Gult"))</formula>
    </cfRule>
    <cfRule type="expression" priority="5" dxfId="2" stopIfTrue="0">
      <formula>OR(EXACT($C9,"Raudt"),EXACT($C9,"Rødt"))</formula>
    </cfRule>
  </conditionalFormatting>
  <conditionalFormatting sqref="B9:B28 D9:E28">
    <cfRule type="expression" priority="2" dxfId="3" stopIfTrue="0">
      <formula>OR(EXACT($C9,"Grønt"))</formula>
    </cfRule>
    <cfRule type="expression" priority="4" dxfId="4" stopIfTrue="0">
      <formula>OR(EXACT($C9,"Gult"))</formula>
    </cfRule>
    <cfRule type="expression" priority="6" dxfId="5" stopIfTrue="0">
      <formula>OR(EXACT($C9,"Raudt"),EXACT($C9,"Rødt"))</formula>
    </cfRule>
  </conditionalFormatting>
  <conditionalFormatting sqref="F32:F46">
    <cfRule type="expression" priority="7" dxfId="2">
      <formula>AND(ISNUMBER($F32),$F32&lt;TODAY(),NOT(OR($G32="Avslutta",$G32="Avsluttet")))</formula>
    </cfRule>
  </conditionalFormatting>
  <conditionalFormatting sqref="B32:G46">
    <cfRule type="expression" priority="8" dxfId="8">
      <formula>OR($G32="Avslutta",$G32="Avsluttet")</formula>
    </cfRule>
    <cfRule type="expression" priority="10" dxfId="16">
      <formula>$B32&lt;&gt;""</formula>
    </cfRule>
  </conditionalFormatting>
  <conditionalFormatting sqref="B9:E28">
    <cfRule type="expression" priority="9" dxfId="16">
      <formula>$B9&lt;&gt;""</formula>
    </cfRule>
  </conditionalFormatting>
  <dataValidations count="1">
    <dataValidation sqref="C4" showDropDown="0" showInputMessage="1" showErrorMessage="0" allowBlank="1" promptTitle="Velg fra lista" prompt="Eleven. Lista viser klassen som er valgt på Oversikt-arket." type="list">
      <formula1>IFERROR(INDIRECT("ELEV_"&amp;SUBSTITUTE(SUBSTITUTE(SUBSTITUTE('Oversikt'!$C$5,"/","_")," ","_"),"-","_")),VelKlasse)</formula1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Elev</t>
        </is>
      </c>
      <c r="C1" t="inlineStr">
        <is>
          <t>Poeng</t>
        </is>
      </c>
      <c r="D1" t="inlineStr">
        <is>
          <t>Sortert</t>
        </is>
      </c>
      <c r="E1" t="inlineStr">
        <is>
          <t>Nå 1</t>
        </is>
      </c>
      <c r="F1" t="inlineStr">
        <is>
          <t>Nå 2</t>
        </is>
      </c>
      <c r="G1" t="inlineStr">
        <is>
          <t>Nå 3</t>
        </is>
      </c>
      <c r="H1" t="inlineStr">
        <is>
          <t>Nå 4</t>
        </is>
      </c>
      <c r="I1" t="inlineStr">
        <is>
          <t>Nå 5</t>
        </is>
      </c>
      <c r="J1" t="inlineStr">
        <is>
          <t>Nå 6</t>
        </is>
      </c>
      <c r="K1" t="inlineStr">
        <is>
          <t>Nå 7</t>
        </is>
      </c>
      <c r="L1" t="inlineStr">
        <is>
          <t>Nå 8</t>
        </is>
      </c>
      <c r="M1" t="inlineStr">
        <is>
          <t>Nå 9</t>
        </is>
      </c>
      <c r="N1" t="inlineStr">
        <is>
          <t>Nå 10</t>
        </is>
      </c>
      <c r="O1" t="inlineStr">
        <is>
          <t>Nå 11</t>
        </is>
      </c>
      <c r="P1" t="inlineStr">
        <is>
          <t>Nå 12</t>
        </is>
      </c>
      <c r="Q1" t="inlineStr">
        <is>
          <t>Før 1</t>
        </is>
      </c>
      <c r="R1" t="inlineStr">
        <is>
          <t>Før 2</t>
        </is>
      </c>
      <c r="S1" t="inlineStr">
        <is>
          <t>Før 3</t>
        </is>
      </c>
      <c r="T1" t="inlineStr">
        <is>
          <t>Før 4</t>
        </is>
      </c>
      <c r="U1" t="inlineStr">
        <is>
          <t>Før 5</t>
        </is>
      </c>
      <c r="V1" t="inlineStr">
        <is>
          <t>Før 6</t>
        </is>
      </c>
      <c r="W1" t="inlineStr">
        <is>
          <t>Før 7</t>
        </is>
      </c>
      <c r="X1" t="inlineStr">
        <is>
          <t>Før 8</t>
        </is>
      </c>
      <c r="Y1" t="inlineStr">
        <is>
          <t>Før 9</t>
        </is>
      </c>
      <c r="Z1" t="inlineStr">
        <is>
          <t>Før 10</t>
        </is>
      </c>
      <c r="AA1" t="inlineStr">
        <is>
          <t>Før 11</t>
        </is>
      </c>
      <c r="AB1" t="inlineStr">
        <is>
          <t>Før 12</t>
        </is>
      </c>
      <c r="AC1" t="inlineStr">
        <is>
          <t>Antall 1</t>
        </is>
      </c>
      <c r="AD1" t="inlineStr">
        <is>
          <t>Antall 2</t>
        </is>
      </c>
      <c r="AE1" t="inlineStr">
        <is>
          <t>Antall 3</t>
        </is>
      </c>
      <c r="AF1" t="inlineStr">
        <is>
          <t>Antall 4</t>
        </is>
      </c>
      <c r="AG1" t="inlineStr">
        <is>
          <t>Antall 5</t>
        </is>
      </c>
      <c r="AH1" t="inlineStr">
        <is>
          <t>Antall 6</t>
        </is>
      </c>
      <c r="AI1" t="inlineStr">
        <is>
          <t>Antall 7</t>
        </is>
      </c>
      <c r="AJ1" t="inlineStr">
        <is>
          <t>Antall 8</t>
        </is>
      </c>
      <c r="AK1" t="inlineStr">
        <is>
          <t>Antall 9</t>
        </is>
      </c>
      <c r="AL1" t="inlineStr">
        <is>
          <t>Antall 10</t>
        </is>
      </c>
      <c r="AM1" t="inlineStr">
        <is>
          <t>Antall 11</t>
        </is>
      </c>
      <c r="AN1" t="inlineStr">
        <is>
          <t>Antall 12</t>
        </is>
      </c>
    </row>
    <row r="2">
      <c r="A2" t="n">
        <v>1</v>
      </c>
      <c r="B2">
        <f>IFERROR(INDEX('Elevar'!$A$2:$AZ$41,$A2,MATCH('Oversikt'!$C$5,'Elevar'!$A$1:$AZ$1,0))&amp;"","")</f>
        <v/>
      </c>
      <c r="C2">
        <f>IF($B2="",-1-$A2/1000,COUNTIF($E2:$P2,3)*10000+COUNTIF($E2:$P2,2)*100+COUNTIF($E2:$P2,1)+(100-$A2)/1000)</f>
        <v/>
      </c>
      <c r="D2">
        <f>MATCH(LARGE($C$2:$C$41,$A2),$C$2:$C$41,0)</f>
        <v/>
      </c>
      <c r="E2">
        <f>IF(OR($B2="",'Oversikt'!F$8=""),0,SUMPRODUCT(MAX(('Innmelding'!$A$2:$A$701='Oversikt'!$C$4)*('Innmelding'!$B$2:$B$701='Oversikt'!$C$5)*('Innmelding'!$C$2:$C$701=$B2)*('Innmelding'!$D$2:$D$701='Oversikt'!F$8)*'Innmelding'!$H$2:$H$701)))</f>
        <v/>
      </c>
      <c r="F2">
        <f>IF(OR($B2="",'Oversikt'!G$8=""),0,SUMPRODUCT(MAX(('Innmelding'!$A$2:$A$701='Oversikt'!$C$4)*('Innmelding'!$B$2:$B$701='Oversikt'!$C$5)*('Innmelding'!$C$2:$C$701=$B2)*('Innmelding'!$D$2:$D$701='Oversikt'!G$8)*'Innmelding'!$H$2:$H$701)))</f>
        <v/>
      </c>
      <c r="G2">
        <f>IF(OR($B2="",'Oversikt'!H$8=""),0,SUMPRODUCT(MAX(('Innmelding'!$A$2:$A$701='Oversikt'!$C$4)*('Innmelding'!$B$2:$B$701='Oversikt'!$C$5)*('Innmelding'!$C$2:$C$701=$B2)*('Innmelding'!$D$2:$D$701='Oversikt'!H$8)*'Innmelding'!$H$2:$H$701)))</f>
        <v/>
      </c>
      <c r="H2">
        <f>IF(OR($B2="",'Oversikt'!I$8=""),0,SUMPRODUCT(MAX(('Innmelding'!$A$2:$A$701='Oversikt'!$C$4)*('Innmelding'!$B$2:$B$701='Oversikt'!$C$5)*('Innmelding'!$C$2:$C$701=$B2)*('Innmelding'!$D$2:$D$701='Oversikt'!I$8)*'Innmelding'!$H$2:$H$701)))</f>
        <v/>
      </c>
      <c r="I2">
        <f>IF(OR($B2="",'Oversikt'!J$8=""),0,SUMPRODUCT(MAX(('Innmelding'!$A$2:$A$701='Oversikt'!$C$4)*('Innmelding'!$B$2:$B$701='Oversikt'!$C$5)*('Innmelding'!$C$2:$C$701=$B2)*('Innmelding'!$D$2:$D$701='Oversikt'!J$8)*'Innmelding'!$H$2:$H$701)))</f>
        <v/>
      </c>
      <c r="J2">
        <f>IF(OR($B2="",'Oversikt'!K$8=""),0,SUMPRODUCT(MAX(('Innmelding'!$A$2:$A$701='Oversikt'!$C$4)*('Innmelding'!$B$2:$B$701='Oversikt'!$C$5)*('Innmelding'!$C$2:$C$701=$B2)*('Innmelding'!$D$2:$D$701='Oversikt'!K$8)*'Innmelding'!$H$2:$H$701)))</f>
        <v/>
      </c>
      <c r="K2">
        <f>IF(OR($B2="",'Oversikt'!L$8=""),0,SUMPRODUCT(MAX(('Innmelding'!$A$2:$A$701='Oversikt'!$C$4)*('Innmelding'!$B$2:$B$701='Oversikt'!$C$5)*('Innmelding'!$C$2:$C$701=$B2)*('Innmelding'!$D$2:$D$701='Oversikt'!L$8)*'Innmelding'!$H$2:$H$701)))</f>
        <v/>
      </c>
      <c r="L2">
        <f>IF(OR($B2="",'Oversikt'!M$8=""),0,SUMPRODUCT(MAX(('Innmelding'!$A$2:$A$701='Oversikt'!$C$4)*('Innmelding'!$B$2:$B$701='Oversikt'!$C$5)*('Innmelding'!$C$2:$C$701=$B2)*('Innmelding'!$D$2:$D$701='Oversikt'!M$8)*'Innmelding'!$H$2:$H$701)))</f>
        <v/>
      </c>
      <c r="M2">
        <f>IF(OR($B2="",'Oversikt'!N$8=""),0,SUMPRODUCT(MAX(('Innmelding'!$A$2:$A$701='Oversikt'!$C$4)*('Innmelding'!$B$2:$B$701='Oversikt'!$C$5)*('Innmelding'!$C$2:$C$701=$B2)*('Innmelding'!$D$2:$D$701='Oversikt'!N$8)*'Innmelding'!$H$2:$H$701)))</f>
        <v/>
      </c>
      <c r="N2">
        <f>IF(OR($B2="",'Oversikt'!O$8=""),0,SUMPRODUCT(MAX(('Innmelding'!$A$2:$A$701='Oversikt'!$C$4)*('Innmelding'!$B$2:$B$701='Oversikt'!$C$5)*('Innmelding'!$C$2:$C$701=$B2)*('Innmelding'!$D$2:$D$701='Oversikt'!O$8)*'Innmelding'!$H$2:$H$701)))</f>
        <v/>
      </c>
      <c r="O2">
        <f>IF(OR($B2="",'Oversikt'!P$8=""),0,SUMPRODUCT(MAX(('Innmelding'!$A$2:$A$701='Oversikt'!$C$4)*('Innmelding'!$B$2:$B$701='Oversikt'!$C$5)*('Innmelding'!$C$2:$C$701=$B2)*('Innmelding'!$D$2:$D$701='Oversikt'!P$8)*'Innmelding'!$H$2:$H$701)))</f>
        <v/>
      </c>
      <c r="P2">
        <f>IF(OR($B2="",'Oversikt'!Q$8=""),0,SUMPRODUCT(MAX(('Innmelding'!$A$2:$A$701='Oversikt'!$C$4)*('Innmelding'!$B$2:$B$701='Oversikt'!$C$5)*('Innmelding'!$C$2:$C$701=$B2)*('Innmelding'!$D$2:$D$701='Oversikt'!Q$8)*'Innmelding'!$H$2:$H$701)))</f>
        <v/>
      </c>
      <c r="Q2">
        <f>IF(OR($B2="",'Oversikt'!F$8="",'Oversikt'!$C$6=""),0,SUMPRODUCT(MAX(('Innmelding'!$A$2:$A$701='Oversikt'!$C$6)*('Innmelding'!$B$2:$B$701='Oversikt'!$C$5)*('Innmelding'!$C$2:$C$701=$B2)*('Innmelding'!$D$2:$D$701='Oversikt'!F$8)*'Innmelding'!$H$2:$H$701)))</f>
        <v/>
      </c>
      <c r="R2">
        <f>IF(OR($B2="",'Oversikt'!G$8="",'Oversikt'!$C$6=""),0,SUMPRODUCT(MAX(('Innmelding'!$A$2:$A$701='Oversikt'!$C$6)*('Innmelding'!$B$2:$B$701='Oversikt'!$C$5)*('Innmelding'!$C$2:$C$701=$B2)*('Innmelding'!$D$2:$D$701='Oversikt'!G$8)*'Innmelding'!$H$2:$H$701)))</f>
        <v/>
      </c>
      <c r="S2">
        <f>IF(OR($B2="",'Oversikt'!H$8="",'Oversikt'!$C$6=""),0,SUMPRODUCT(MAX(('Innmelding'!$A$2:$A$701='Oversikt'!$C$6)*('Innmelding'!$B$2:$B$701='Oversikt'!$C$5)*('Innmelding'!$C$2:$C$701=$B2)*('Innmelding'!$D$2:$D$701='Oversikt'!H$8)*'Innmelding'!$H$2:$H$701)))</f>
        <v/>
      </c>
      <c r="T2">
        <f>IF(OR($B2="",'Oversikt'!I$8="",'Oversikt'!$C$6=""),0,SUMPRODUCT(MAX(('Innmelding'!$A$2:$A$701='Oversikt'!$C$6)*('Innmelding'!$B$2:$B$701='Oversikt'!$C$5)*('Innmelding'!$C$2:$C$701=$B2)*('Innmelding'!$D$2:$D$701='Oversikt'!I$8)*'Innmelding'!$H$2:$H$701)))</f>
        <v/>
      </c>
      <c r="U2">
        <f>IF(OR($B2="",'Oversikt'!J$8="",'Oversikt'!$C$6=""),0,SUMPRODUCT(MAX(('Innmelding'!$A$2:$A$701='Oversikt'!$C$6)*('Innmelding'!$B$2:$B$701='Oversikt'!$C$5)*('Innmelding'!$C$2:$C$701=$B2)*('Innmelding'!$D$2:$D$701='Oversikt'!J$8)*'Innmelding'!$H$2:$H$701)))</f>
        <v/>
      </c>
      <c r="V2">
        <f>IF(OR($B2="",'Oversikt'!K$8="",'Oversikt'!$C$6=""),0,SUMPRODUCT(MAX(('Innmelding'!$A$2:$A$701='Oversikt'!$C$6)*('Innmelding'!$B$2:$B$701='Oversikt'!$C$5)*('Innmelding'!$C$2:$C$701=$B2)*('Innmelding'!$D$2:$D$701='Oversikt'!K$8)*'Innmelding'!$H$2:$H$701)))</f>
        <v/>
      </c>
      <c r="W2">
        <f>IF(OR($B2="",'Oversikt'!L$8="",'Oversikt'!$C$6=""),0,SUMPRODUCT(MAX(('Innmelding'!$A$2:$A$701='Oversikt'!$C$6)*('Innmelding'!$B$2:$B$701='Oversikt'!$C$5)*('Innmelding'!$C$2:$C$701=$B2)*('Innmelding'!$D$2:$D$701='Oversikt'!L$8)*'Innmelding'!$H$2:$H$701)))</f>
        <v/>
      </c>
      <c r="X2">
        <f>IF(OR($B2="",'Oversikt'!M$8="",'Oversikt'!$C$6=""),0,SUMPRODUCT(MAX(('Innmelding'!$A$2:$A$701='Oversikt'!$C$6)*('Innmelding'!$B$2:$B$701='Oversikt'!$C$5)*('Innmelding'!$C$2:$C$701=$B2)*('Innmelding'!$D$2:$D$701='Oversikt'!M$8)*'Innmelding'!$H$2:$H$701)))</f>
        <v/>
      </c>
      <c r="Y2">
        <f>IF(OR($B2="",'Oversikt'!N$8="",'Oversikt'!$C$6=""),0,SUMPRODUCT(MAX(('Innmelding'!$A$2:$A$701='Oversikt'!$C$6)*('Innmelding'!$B$2:$B$701='Oversikt'!$C$5)*('Innmelding'!$C$2:$C$701=$B2)*('Innmelding'!$D$2:$D$701='Oversikt'!N$8)*'Innmelding'!$H$2:$H$701)))</f>
        <v/>
      </c>
      <c r="Z2">
        <f>IF(OR($B2="",'Oversikt'!O$8="",'Oversikt'!$C$6=""),0,SUMPRODUCT(MAX(('Innmelding'!$A$2:$A$701='Oversikt'!$C$6)*('Innmelding'!$B$2:$B$701='Oversikt'!$C$5)*('Innmelding'!$C$2:$C$701=$B2)*('Innmelding'!$D$2:$D$701='Oversikt'!O$8)*'Innmelding'!$H$2:$H$701)))</f>
        <v/>
      </c>
      <c r="AA2">
        <f>IF(OR($B2="",'Oversikt'!P$8="",'Oversikt'!$C$6=""),0,SUMPRODUCT(MAX(('Innmelding'!$A$2:$A$701='Oversikt'!$C$6)*('Innmelding'!$B$2:$B$701='Oversikt'!$C$5)*('Innmelding'!$C$2:$C$701=$B2)*('Innmelding'!$D$2:$D$701='Oversikt'!P$8)*'Innmelding'!$H$2:$H$701)))</f>
        <v/>
      </c>
      <c r="AB2">
        <f>IF(OR($B2="",'Oversikt'!Q$8="",'Oversikt'!$C$6=""),0,SUMPRODUCT(MAX(('Innmelding'!$A$2:$A$701='Oversikt'!$C$6)*('Innmelding'!$B$2:$B$701='Oversikt'!$C$5)*('Innmelding'!$C$2:$C$701=$B2)*('Innmelding'!$D$2:$D$701='Oversikt'!Q$8)*'Innmelding'!$H$2:$H$701)))</f>
        <v/>
      </c>
      <c r="AC2">
        <f>IF(OR($B2="",'Oversikt'!F$8=""),0,SUMPRODUCT(('Innmelding'!$A$2:$A$701='Oversikt'!$C$4)*('Innmelding'!$B$2:$B$701='Oversikt'!$C$5)*('Innmelding'!$C$2:$C$701=$B2)*('Innmelding'!$D$2:$D$701='Oversikt'!F$8)*('Innmelding'!$H$2:$H$701&gt;0)))</f>
        <v/>
      </c>
      <c r="AD2">
        <f>IF(OR($B2="",'Oversikt'!G$8=""),0,SUMPRODUCT(('Innmelding'!$A$2:$A$701='Oversikt'!$C$4)*('Innmelding'!$B$2:$B$701='Oversikt'!$C$5)*('Innmelding'!$C$2:$C$701=$B2)*('Innmelding'!$D$2:$D$701='Oversikt'!G$8)*('Innmelding'!$H$2:$H$701&gt;0)))</f>
        <v/>
      </c>
      <c r="AE2">
        <f>IF(OR($B2="",'Oversikt'!H$8=""),0,SUMPRODUCT(('Innmelding'!$A$2:$A$701='Oversikt'!$C$4)*('Innmelding'!$B$2:$B$701='Oversikt'!$C$5)*('Innmelding'!$C$2:$C$701=$B2)*('Innmelding'!$D$2:$D$701='Oversikt'!H$8)*('Innmelding'!$H$2:$H$701&gt;0)))</f>
        <v/>
      </c>
      <c r="AF2">
        <f>IF(OR($B2="",'Oversikt'!I$8=""),0,SUMPRODUCT(('Innmelding'!$A$2:$A$701='Oversikt'!$C$4)*('Innmelding'!$B$2:$B$701='Oversikt'!$C$5)*('Innmelding'!$C$2:$C$701=$B2)*('Innmelding'!$D$2:$D$701='Oversikt'!I$8)*('Innmelding'!$H$2:$H$701&gt;0)))</f>
        <v/>
      </c>
      <c r="AG2">
        <f>IF(OR($B2="",'Oversikt'!J$8=""),0,SUMPRODUCT(('Innmelding'!$A$2:$A$701='Oversikt'!$C$4)*('Innmelding'!$B$2:$B$701='Oversikt'!$C$5)*('Innmelding'!$C$2:$C$701=$B2)*('Innmelding'!$D$2:$D$701='Oversikt'!J$8)*('Innmelding'!$H$2:$H$701&gt;0)))</f>
        <v/>
      </c>
      <c r="AH2">
        <f>IF(OR($B2="",'Oversikt'!K$8=""),0,SUMPRODUCT(('Innmelding'!$A$2:$A$701='Oversikt'!$C$4)*('Innmelding'!$B$2:$B$701='Oversikt'!$C$5)*('Innmelding'!$C$2:$C$701=$B2)*('Innmelding'!$D$2:$D$701='Oversikt'!K$8)*('Innmelding'!$H$2:$H$701&gt;0)))</f>
        <v/>
      </c>
      <c r="AI2">
        <f>IF(OR($B2="",'Oversikt'!L$8=""),0,SUMPRODUCT(('Innmelding'!$A$2:$A$701='Oversikt'!$C$4)*('Innmelding'!$B$2:$B$701='Oversikt'!$C$5)*('Innmelding'!$C$2:$C$701=$B2)*('Innmelding'!$D$2:$D$701='Oversikt'!L$8)*('Innmelding'!$H$2:$H$701&gt;0)))</f>
        <v/>
      </c>
      <c r="AJ2">
        <f>IF(OR($B2="",'Oversikt'!M$8=""),0,SUMPRODUCT(('Innmelding'!$A$2:$A$701='Oversikt'!$C$4)*('Innmelding'!$B$2:$B$701='Oversikt'!$C$5)*('Innmelding'!$C$2:$C$701=$B2)*('Innmelding'!$D$2:$D$701='Oversikt'!M$8)*('Innmelding'!$H$2:$H$701&gt;0)))</f>
        <v/>
      </c>
      <c r="AK2">
        <f>IF(OR($B2="",'Oversikt'!N$8=""),0,SUMPRODUCT(('Innmelding'!$A$2:$A$701='Oversikt'!$C$4)*('Innmelding'!$B$2:$B$701='Oversikt'!$C$5)*('Innmelding'!$C$2:$C$701=$B2)*('Innmelding'!$D$2:$D$701='Oversikt'!N$8)*('Innmelding'!$H$2:$H$701&gt;0)))</f>
        <v/>
      </c>
      <c r="AL2">
        <f>IF(OR($B2="",'Oversikt'!O$8=""),0,SUMPRODUCT(('Innmelding'!$A$2:$A$701='Oversikt'!$C$4)*('Innmelding'!$B$2:$B$701='Oversikt'!$C$5)*('Innmelding'!$C$2:$C$701=$B2)*('Innmelding'!$D$2:$D$701='Oversikt'!O$8)*('Innmelding'!$H$2:$H$701&gt;0)))</f>
        <v/>
      </c>
      <c r="AM2">
        <f>IF(OR($B2="",'Oversikt'!P$8=""),0,SUMPRODUCT(('Innmelding'!$A$2:$A$701='Oversikt'!$C$4)*('Innmelding'!$B$2:$B$701='Oversikt'!$C$5)*('Innmelding'!$C$2:$C$701=$B2)*('Innmelding'!$D$2:$D$701='Oversikt'!P$8)*('Innmelding'!$H$2:$H$701&gt;0)))</f>
        <v/>
      </c>
      <c r="AN2">
        <f>IF(OR($B2="",'Oversikt'!Q$8=""),0,SUMPRODUCT(('Innmelding'!$A$2:$A$701='Oversikt'!$C$4)*('Innmelding'!$B$2:$B$701='Oversikt'!$C$5)*('Innmelding'!$C$2:$C$701=$B2)*('Innmelding'!$D$2:$D$701='Oversikt'!Q$8)*('Innmelding'!$H$2:$H$701&gt;0)))</f>
        <v/>
      </c>
    </row>
    <row r="3">
      <c r="A3" t="n">
        <v>2</v>
      </c>
      <c r="B3">
        <f>IFERROR(INDEX('Elevar'!$A$2:$AZ$41,$A3,MATCH('Oversikt'!$C$5,'Elevar'!$A$1:$AZ$1,0))&amp;"","")</f>
        <v/>
      </c>
      <c r="C3">
        <f>IF($B3="",-1-$A3/1000,COUNTIF($E3:$P3,3)*10000+COUNTIF($E3:$P3,2)*100+COUNTIF($E3:$P3,1)+(100-$A3)/1000)</f>
        <v/>
      </c>
      <c r="D3">
        <f>MATCH(LARGE($C$2:$C$41,$A3),$C$2:$C$41,0)</f>
        <v/>
      </c>
      <c r="E3">
        <f>IF(OR($B3="",'Oversikt'!F$8=""),0,SUMPRODUCT(MAX(('Innmelding'!$A$2:$A$701='Oversikt'!$C$4)*('Innmelding'!$B$2:$B$701='Oversikt'!$C$5)*('Innmelding'!$C$2:$C$701=$B3)*('Innmelding'!$D$2:$D$701='Oversikt'!F$8)*'Innmelding'!$H$2:$H$701)))</f>
        <v/>
      </c>
      <c r="F3">
        <f>IF(OR($B3="",'Oversikt'!G$8=""),0,SUMPRODUCT(MAX(('Innmelding'!$A$2:$A$701='Oversikt'!$C$4)*('Innmelding'!$B$2:$B$701='Oversikt'!$C$5)*('Innmelding'!$C$2:$C$701=$B3)*('Innmelding'!$D$2:$D$701='Oversikt'!G$8)*'Innmelding'!$H$2:$H$701)))</f>
        <v/>
      </c>
      <c r="G3">
        <f>IF(OR($B3="",'Oversikt'!H$8=""),0,SUMPRODUCT(MAX(('Innmelding'!$A$2:$A$701='Oversikt'!$C$4)*('Innmelding'!$B$2:$B$701='Oversikt'!$C$5)*('Innmelding'!$C$2:$C$701=$B3)*('Innmelding'!$D$2:$D$701='Oversikt'!H$8)*'Innmelding'!$H$2:$H$701)))</f>
        <v/>
      </c>
      <c r="H3">
        <f>IF(OR($B3="",'Oversikt'!I$8=""),0,SUMPRODUCT(MAX(('Innmelding'!$A$2:$A$701='Oversikt'!$C$4)*('Innmelding'!$B$2:$B$701='Oversikt'!$C$5)*('Innmelding'!$C$2:$C$701=$B3)*('Innmelding'!$D$2:$D$701='Oversikt'!I$8)*'Innmelding'!$H$2:$H$701)))</f>
        <v/>
      </c>
      <c r="I3">
        <f>IF(OR($B3="",'Oversikt'!J$8=""),0,SUMPRODUCT(MAX(('Innmelding'!$A$2:$A$701='Oversikt'!$C$4)*('Innmelding'!$B$2:$B$701='Oversikt'!$C$5)*('Innmelding'!$C$2:$C$701=$B3)*('Innmelding'!$D$2:$D$701='Oversikt'!J$8)*'Innmelding'!$H$2:$H$701)))</f>
        <v/>
      </c>
      <c r="J3">
        <f>IF(OR($B3="",'Oversikt'!K$8=""),0,SUMPRODUCT(MAX(('Innmelding'!$A$2:$A$701='Oversikt'!$C$4)*('Innmelding'!$B$2:$B$701='Oversikt'!$C$5)*('Innmelding'!$C$2:$C$701=$B3)*('Innmelding'!$D$2:$D$701='Oversikt'!K$8)*'Innmelding'!$H$2:$H$701)))</f>
        <v/>
      </c>
      <c r="K3">
        <f>IF(OR($B3="",'Oversikt'!L$8=""),0,SUMPRODUCT(MAX(('Innmelding'!$A$2:$A$701='Oversikt'!$C$4)*('Innmelding'!$B$2:$B$701='Oversikt'!$C$5)*('Innmelding'!$C$2:$C$701=$B3)*('Innmelding'!$D$2:$D$701='Oversikt'!L$8)*'Innmelding'!$H$2:$H$701)))</f>
        <v/>
      </c>
      <c r="L3">
        <f>IF(OR($B3="",'Oversikt'!M$8=""),0,SUMPRODUCT(MAX(('Innmelding'!$A$2:$A$701='Oversikt'!$C$4)*('Innmelding'!$B$2:$B$701='Oversikt'!$C$5)*('Innmelding'!$C$2:$C$701=$B3)*('Innmelding'!$D$2:$D$701='Oversikt'!M$8)*'Innmelding'!$H$2:$H$701)))</f>
        <v/>
      </c>
      <c r="M3">
        <f>IF(OR($B3="",'Oversikt'!N$8=""),0,SUMPRODUCT(MAX(('Innmelding'!$A$2:$A$701='Oversikt'!$C$4)*('Innmelding'!$B$2:$B$701='Oversikt'!$C$5)*('Innmelding'!$C$2:$C$701=$B3)*('Innmelding'!$D$2:$D$701='Oversikt'!N$8)*'Innmelding'!$H$2:$H$701)))</f>
        <v/>
      </c>
      <c r="N3">
        <f>IF(OR($B3="",'Oversikt'!O$8=""),0,SUMPRODUCT(MAX(('Innmelding'!$A$2:$A$701='Oversikt'!$C$4)*('Innmelding'!$B$2:$B$701='Oversikt'!$C$5)*('Innmelding'!$C$2:$C$701=$B3)*('Innmelding'!$D$2:$D$701='Oversikt'!O$8)*'Innmelding'!$H$2:$H$701)))</f>
        <v/>
      </c>
      <c r="O3">
        <f>IF(OR($B3="",'Oversikt'!P$8=""),0,SUMPRODUCT(MAX(('Innmelding'!$A$2:$A$701='Oversikt'!$C$4)*('Innmelding'!$B$2:$B$701='Oversikt'!$C$5)*('Innmelding'!$C$2:$C$701=$B3)*('Innmelding'!$D$2:$D$701='Oversikt'!P$8)*'Innmelding'!$H$2:$H$701)))</f>
        <v/>
      </c>
      <c r="P3">
        <f>IF(OR($B3="",'Oversikt'!Q$8=""),0,SUMPRODUCT(MAX(('Innmelding'!$A$2:$A$701='Oversikt'!$C$4)*('Innmelding'!$B$2:$B$701='Oversikt'!$C$5)*('Innmelding'!$C$2:$C$701=$B3)*('Innmelding'!$D$2:$D$701='Oversikt'!Q$8)*'Innmelding'!$H$2:$H$701)))</f>
        <v/>
      </c>
      <c r="Q3">
        <f>IF(OR($B3="",'Oversikt'!F$8="",'Oversikt'!$C$6=""),0,SUMPRODUCT(MAX(('Innmelding'!$A$2:$A$701='Oversikt'!$C$6)*('Innmelding'!$B$2:$B$701='Oversikt'!$C$5)*('Innmelding'!$C$2:$C$701=$B3)*('Innmelding'!$D$2:$D$701='Oversikt'!F$8)*'Innmelding'!$H$2:$H$701)))</f>
        <v/>
      </c>
      <c r="R3">
        <f>IF(OR($B3="",'Oversikt'!G$8="",'Oversikt'!$C$6=""),0,SUMPRODUCT(MAX(('Innmelding'!$A$2:$A$701='Oversikt'!$C$6)*('Innmelding'!$B$2:$B$701='Oversikt'!$C$5)*('Innmelding'!$C$2:$C$701=$B3)*('Innmelding'!$D$2:$D$701='Oversikt'!G$8)*'Innmelding'!$H$2:$H$701)))</f>
        <v/>
      </c>
      <c r="S3">
        <f>IF(OR($B3="",'Oversikt'!H$8="",'Oversikt'!$C$6=""),0,SUMPRODUCT(MAX(('Innmelding'!$A$2:$A$701='Oversikt'!$C$6)*('Innmelding'!$B$2:$B$701='Oversikt'!$C$5)*('Innmelding'!$C$2:$C$701=$B3)*('Innmelding'!$D$2:$D$701='Oversikt'!H$8)*'Innmelding'!$H$2:$H$701)))</f>
        <v/>
      </c>
      <c r="T3">
        <f>IF(OR($B3="",'Oversikt'!I$8="",'Oversikt'!$C$6=""),0,SUMPRODUCT(MAX(('Innmelding'!$A$2:$A$701='Oversikt'!$C$6)*('Innmelding'!$B$2:$B$701='Oversikt'!$C$5)*('Innmelding'!$C$2:$C$701=$B3)*('Innmelding'!$D$2:$D$701='Oversikt'!I$8)*'Innmelding'!$H$2:$H$701)))</f>
        <v/>
      </c>
      <c r="U3">
        <f>IF(OR($B3="",'Oversikt'!J$8="",'Oversikt'!$C$6=""),0,SUMPRODUCT(MAX(('Innmelding'!$A$2:$A$701='Oversikt'!$C$6)*('Innmelding'!$B$2:$B$701='Oversikt'!$C$5)*('Innmelding'!$C$2:$C$701=$B3)*('Innmelding'!$D$2:$D$701='Oversikt'!J$8)*'Innmelding'!$H$2:$H$701)))</f>
        <v/>
      </c>
      <c r="V3">
        <f>IF(OR($B3="",'Oversikt'!K$8="",'Oversikt'!$C$6=""),0,SUMPRODUCT(MAX(('Innmelding'!$A$2:$A$701='Oversikt'!$C$6)*('Innmelding'!$B$2:$B$701='Oversikt'!$C$5)*('Innmelding'!$C$2:$C$701=$B3)*('Innmelding'!$D$2:$D$701='Oversikt'!K$8)*'Innmelding'!$H$2:$H$701)))</f>
        <v/>
      </c>
      <c r="W3">
        <f>IF(OR($B3="",'Oversikt'!L$8="",'Oversikt'!$C$6=""),0,SUMPRODUCT(MAX(('Innmelding'!$A$2:$A$701='Oversikt'!$C$6)*('Innmelding'!$B$2:$B$701='Oversikt'!$C$5)*('Innmelding'!$C$2:$C$701=$B3)*('Innmelding'!$D$2:$D$701='Oversikt'!L$8)*'Innmelding'!$H$2:$H$701)))</f>
        <v/>
      </c>
      <c r="X3">
        <f>IF(OR($B3="",'Oversikt'!M$8="",'Oversikt'!$C$6=""),0,SUMPRODUCT(MAX(('Innmelding'!$A$2:$A$701='Oversikt'!$C$6)*('Innmelding'!$B$2:$B$701='Oversikt'!$C$5)*('Innmelding'!$C$2:$C$701=$B3)*('Innmelding'!$D$2:$D$701='Oversikt'!M$8)*'Innmelding'!$H$2:$H$701)))</f>
        <v/>
      </c>
      <c r="Y3">
        <f>IF(OR($B3="",'Oversikt'!N$8="",'Oversikt'!$C$6=""),0,SUMPRODUCT(MAX(('Innmelding'!$A$2:$A$701='Oversikt'!$C$6)*('Innmelding'!$B$2:$B$701='Oversikt'!$C$5)*('Innmelding'!$C$2:$C$701=$B3)*('Innmelding'!$D$2:$D$701='Oversikt'!N$8)*'Innmelding'!$H$2:$H$701)))</f>
        <v/>
      </c>
      <c r="Z3">
        <f>IF(OR($B3="",'Oversikt'!O$8="",'Oversikt'!$C$6=""),0,SUMPRODUCT(MAX(('Innmelding'!$A$2:$A$701='Oversikt'!$C$6)*('Innmelding'!$B$2:$B$701='Oversikt'!$C$5)*('Innmelding'!$C$2:$C$701=$B3)*('Innmelding'!$D$2:$D$701='Oversikt'!O$8)*'Innmelding'!$H$2:$H$701)))</f>
        <v/>
      </c>
      <c r="AA3">
        <f>IF(OR($B3="",'Oversikt'!P$8="",'Oversikt'!$C$6=""),0,SUMPRODUCT(MAX(('Innmelding'!$A$2:$A$701='Oversikt'!$C$6)*('Innmelding'!$B$2:$B$701='Oversikt'!$C$5)*('Innmelding'!$C$2:$C$701=$B3)*('Innmelding'!$D$2:$D$701='Oversikt'!P$8)*'Innmelding'!$H$2:$H$701)))</f>
        <v/>
      </c>
      <c r="AB3">
        <f>IF(OR($B3="",'Oversikt'!Q$8="",'Oversikt'!$C$6=""),0,SUMPRODUCT(MAX(('Innmelding'!$A$2:$A$701='Oversikt'!$C$6)*('Innmelding'!$B$2:$B$701='Oversikt'!$C$5)*('Innmelding'!$C$2:$C$701=$B3)*('Innmelding'!$D$2:$D$701='Oversikt'!Q$8)*'Innmelding'!$H$2:$H$701)))</f>
        <v/>
      </c>
      <c r="AC3">
        <f>IF(OR($B3="",'Oversikt'!F$8=""),0,SUMPRODUCT(('Innmelding'!$A$2:$A$701='Oversikt'!$C$4)*('Innmelding'!$B$2:$B$701='Oversikt'!$C$5)*('Innmelding'!$C$2:$C$701=$B3)*('Innmelding'!$D$2:$D$701='Oversikt'!F$8)*('Innmelding'!$H$2:$H$701&gt;0)))</f>
        <v/>
      </c>
      <c r="AD3">
        <f>IF(OR($B3="",'Oversikt'!G$8=""),0,SUMPRODUCT(('Innmelding'!$A$2:$A$701='Oversikt'!$C$4)*('Innmelding'!$B$2:$B$701='Oversikt'!$C$5)*('Innmelding'!$C$2:$C$701=$B3)*('Innmelding'!$D$2:$D$701='Oversikt'!G$8)*('Innmelding'!$H$2:$H$701&gt;0)))</f>
        <v/>
      </c>
      <c r="AE3">
        <f>IF(OR($B3="",'Oversikt'!H$8=""),0,SUMPRODUCT(('Innmelding'!$A$2:$A$701='Oversikt'!$C$4)*('Innmelding'!$B$2:$B$701='Oversikt'!$C$5)*('Innmelding'!$C$2:$C$701=$B3)*('Innmelding'!$D$2:$D$701='Oversikt'!H$8)*('Innmelding'!$H$2:$H$701&gt;0)))</f>
        <v/>
      </c>
      <c r="AF3">
        <f>IF(OR($B3="",'Oversikt'!I$8=""),0,SUMPRODUCT(('Innmelding'!$A$2:$A$701='Oversikt'!$C$4)*('Innmelding'!$B$2:$B$701='Oversikt'!$C$5)*('Innmelding'!$C$2:$C$701=$B3)*('Innmelding'!$D$2:$D$701='Oversikt'!I$8)*('Innmelding'!$H$2:$H$701&gt;0)))</f>
        <v/>
      </c>
      <c r="AG3">
        <f>IF(OR($B3="",'Oversikt'!J$8=""),0,SUMPRODUCT(('Innmelding'!$A$2:$A$701='Oversikt'!$C$4)*('Innmelding'!$B$2:$B$701='Oversikt'!$C$5)*('Innmelding'!$C$2:$C$701=$B3)*('Innmelding'!$D$2:$D$701='Oversikt'!J$8)*('Innmelding'!$H$2:$H$701&gt;0)))</f>
        <v/>
      </c>
      <c r="AH3">
        <f>IF(OR($B3="",'Oversikt'!K$8=""),0,SUMPRODUCT(('Innmelding'!$A$2:$A$701='Oversikt'!$C$4)*('Innmelding'!$B$2:$B$701='Oversikt'!$C$5)*('Innmelding'!$C$2:$C$701=$B3)*('Innmelding'!$D$2:$D$701='Oversikt'!K$8)*('Innmelding'!$H$2:$H$701&gt;0)))</f>
        <v/>
      </c>
      <c r="AI3">
        <f>IF(OR($B3="",'Oversikt'!L$8=""),0,SUMPRODUCT(('Innmelding'!$A$2:$A$701='Oversikt'!$C$4)*('Innmelding'!$B$2:$B$701='Oversikt'!$C$5)*('Innmelding'!$C$2:$C$701=$B3)*('Innmelding'!$D$2:$D$701='Oversikt'!L$8)*('Innmelding'!$H$2:$H$701&gt;0)))</f>
        <v/>
      </c>
      <c r="AJ3">
        <f>IF(OR($B3="",'Oversikt'!M$8=""),0,SUMPRODUCT(('Innmelding'!$A$2:$A$701='Oversikt'!$C$4)*('Innmelding'!$B$2:$B$701='Oversikt'!$C$5)*('Innmelding'!$C$2:$C$701=$B3)*('Innmelding'!$D$2:$D$701='Oversikt'!M$8)*('Innmelding'!$H$2:$H$701&gt;0)))</f>
        <v/>
      </c>
      <c r="AK3">
        <f>IF(OR($B3="",'Oversikt'!N$8=""),0,SUMPRODUCT(('Innmelding'!$A$2:$A$701='Oversikt'!$C$4)*('Innmelding'!$B$2:$B$701='Oversikt'!$C$5)*('Innmelding'!$C$2:$C$701=$B3)*('Innmelding'!$D$2:$D$701='Oversikt'!N$8)*('Innmelding'!$H$2:$H$701&gt;0)))</f>
        <v/>
      </c>
      <c r="AL3">
        <f>IF(OR($B3="",'Oversikt'!O$8=""),0,SUMPRODUCT(('Innmelding'!$A$2:$A$701='Oversikt'!$C$4)*('Innmelding'!$B$2:$B$701='Oversikt'!$C$5)*('Innmelding'!$C$2:$C$701=$B3)*('Innmelding'!$D$2:$D$701='Oversikt'!O$8)*('Innmelding'!$H$2:$H$701&gt;0)))</f>
        <v/>
      </c>
      <c r="AM3">
        <f>IF(OR($B3="",'Oversikt'!P$8=""),0,SUMPRODUCT(('Innmelding'!$A$2:$A$701='Oversikt'!$C$4)*('Innmelding'!$B$2:$B$701='Oversikt'!$C$5)*('Innmelding'!$C$2:$C$701=$B3)*('Innmelding'!$D$2:$D$701='Oversikt'!P$8)*('Innmelding'!$H$2:$H$701&gt;0)))</f>
        <v/>
      </c>
      <c r="AN3">
        <f>IF(OR($B3="",'Oversikt'!Q$8=""),0,SUMPRODUCT(('Innmelding'!$A$2:$A$701='Oversikt'!$C$4)*('Innmelding'!$B$2:$B$701='Oversikt'!$C$5)*('Innmelding'!$C$2:$C$701=$B3)*('Innmelding'!$D$2:$D$701='Oversikt'!Q$8)*('Innmelding'!$H$2:$H$701&gt;0)))</f>
        <v/>
      </c>
    </row>
    <row r="4">
      <c r="A4" t="n">
        <v>3</v>
      </c>
      <c r="B4">
        <f>IFERROR(INDEX('Elevar'!$A$2:$AZ$41,$A4,MATCH('Oversikt'!$C$5,'Elevar'!$A$1:$AZ$1,0))&amp;"","")</f>
        <v/>
      </c>
      <c r="C4">
        <f>IF($B4="",-1-$A4/1000,COUNTIF($E4:$P4,3)*10000+COUNTIF($E4:$P4,2)*100+COUNTIF($E4:$P4,1)+(100-$A4)/1000)</f>
        <v/>
      </c>
      <c r="D4">
        <f>MATCH(LARGE($C$2:$C$41,$A4),$C$2:$C$41,0)</f>
        <v/>
      </c>
      <c r="E4">
        <f>IF(OR($B4="",'Oversikt'!F$8=""),0,SUMPRODUCT(MAX(('Innmelding'!$A$2:$A$701='Oversikt'!$C$4)*('Innmelding'!$B$2:$B$701='Oversikt'!$C$5)*('Innmelding'!$C$2:$C$701=$B4)*('Innmelding'!$D$2:$D$701='Oversikt'!F$8)*'Innmelding'!$H$2:$H$701)))</f>
        <v/>
      </c>
      <c r="F4">
        <f>IF(OR($B4="",'Oversikt'!G$8=""),0,SUMPRODUCT(MAX(('Innmelding'!$A$2:$A$701='Oversikt'!$C$4)*('Innmelding'!$B$2:$B$701='Oversikt'!$C$5)*('Innmelding'!$C$2:$C$701=$B4)*('Innmelding'!$D$2:$D$701='Oversikt'!G$8)*'Innmelding'!$H$2:$H$701)))</f>
        <v/>
      </c>
      <c r="G4">
        <f>IF(OR($B4="",'Oversikt'!H$8=""),0,SUMPRODUCT(MAX(('Innmelding'!$A$2:$A$701='Oversikt'!$C$4)*('Innmelding'!$B$2:$B$701='Oversikt'!$C$5)*('Innmelding'!$C$2:$C$701=$B4)*('Innmelding'!$D$2:$D$701='Oversikt'!H$8)*'Innmelding'!$H$2:$H$701)))</f>
        <v/>
      </c>
      <c r="H4">
        <f>IF(OR($B4="",'Oversikt'!I$8=""),0,SUMPRODUCT(MAX(('Innmelding'!$A$2:$A$701='Oversikt'!$C$4)*('Innmelding'!$B$2:$B$701='Oversikt'!$C$5)*('Innmelding'!$C$2:$C$701=$B4)*('Innmelding'!$D$2:$D$701='Oversikt'!I$8)*'Innmelding'!$H$2:$H$701)))</f>
        <v/>
      </c>
      <c r="I4">
        <f>IF(OR($B4="",'Oversikt'!J$8=""),0,SUMPRODUCT(MAX(('Innmelding'!$A$2:$A$701='Oversikt'!$C$4)*('Innmelding'!$B$2:$B$701='Oversikt'!$C$5)*('Innmelding'!$C$2:$C$701=$B4)*('Innmelding'!$D$2:$D$701='Oversikt'!J$8)*'Innmelding'!$H$2:$H$701)))</f>
        <v/>
      </c>
      <c r="J4">
        <f>IF(OR($B4="",'Oversikt'!K$8=""),0,SUMPRODUCT(MAX(('Innmelding'!$A$2:$A$701='Oversikt'!$C$4)*('Innmelding'!$B$2:$B$701='Oversikt'!$C$5)*('Innmelding'!$C$2:$C$701=$B4)*('Innmelding'!$D$2:$D$701='Oversikt'!K$8)*'Innmelding'!$H$2:$H$701)))</f>
        <v/>
      </c>
      <c r="K4">
        <f>IF(OR($B4="",'Oversikt'!L$8=""),0,SUMPRODUCT(MAX(('Innmelding'!$A$2:$A$701='Oversikt'!$C$4)*('Innmelding'!$B$2:$B$701='Oversikt'!$C$5)*('Innmelding'!$C$2:$C$701=$B4)*('Innmelding'!$D$2:$D$701='Oversikt'!L$8)*'Innmelding'!$H$2:$H$701)))</f>
        <v/>
      </c>
      <c r="L4">
        <f>IF(OR($B4="",'Oversikt'!M$8=""),0,SUMPRODUCT(MAX(('Innmelding'!$A$2:$A$701='Oversikt'!$C$4)*('Innmelding'!$B$2:$B$701='Oversikt'!$C$5)*('Innmelding'!$C$2:$C$701=$B4)*('Innmelding'!$D$2:$D$701='Oversikt'!M$8)*'Innmelding'!$H$2:$H$701)))</f>
        <v/>
      </c>
      <c r="M4">
        <f>IF(OR($B4="",'Oversikt'!N$8=""),0,SUMPRODUCT(MAX(('Innmelding'!$A$2:$A$701='Oversikt'!$C$4)*('Innmelding'!$B$2:$B$701='Oversikt'!$C$5)*('Innmelding'!$C$2:$C$701=$B4)*('Innmelding'!$D$2:$D$701='Oversikt'!N$8)*'Innmelding'!$H$2:$H$701)))</f>
        <v/>
      </c>
      <c r="N4">
        <f>IF(OR($B4="",'Oversikt'!O$8=""),0,SUMPRODUCT(MAX(('Innmelding'!$A$2:$A$701='Oversikt'!$C$4)*('Innmelding'!$B$2:$B$701='Oversikt'!$C$5)*('Innmelding'!$C$2:$C$701=$B4)*('Innmelding'!$D$2:$D$701='Oversikt'!O$8)*'Innmelding'!$H$2:$H$701)))</f>
        <v/>
      </c>
      <c r="O4">
        <f>IF(OR($B4="",'Oversikt'!P$8=""),0,SUMPRODUCT(MAX(('Innmelding'!$A$2:$A$701='Oversikt'!$C$4)*('Innmelding'!$B$2:$B$701='Oversikt'!$C$5)*('Innmelding'!$C$2:$C$701=$B4)*('Innmelding'!$D$2:$D$701='Oversikt'!P$8)*'Innmelding'!$H$2:$H$701)))</f>
        <v/>
      </c>
      <c r="P4">
        <f>IF(OR($B4="",'Oversikt'!Q$8=""),0,SUMPRODUCT(MAX(('Innmelding'!$A$2:$A$701='Oversikt'!$C$4)*('Innmelding'!$B$2:$B$701='Oversikt'!$C$5)*('Innmelding'!$C$2:$C$701=$B4)*('Innmelding'!$D$2:$D$701='Oversikt'!Q$8)*'Innmelding'!$H$2:$H$701)))</f>
        <v/>
      </c>
      <c r="Q4">
        <f>IF(OR($B4="",'Oversikt'!F$8="",'Oversikt'!$C$6=""),0,SUMPRODUCT(MAX(('Innmelding'!$A$2:$A$701='Oversikt'!$C$6)*('Innmelding'!$B$2:$B$701='Oversikt'!$C$5)*('Innmelding'!$C$2:$C$701=$B4)*('Innmelding'!$D$2:$D$701='Oversikt'!F$8)*'Innmelding'!$H$2:$H$701)))</f>
        <v/>
      </c>
      <c r="R4">
        <f>IF(OR($B4="",'Oversikt'!G$8="",'Oversikt'!$C$6=""),0,SUMPRODUCT(MAX(('Innmelding'!$A$2:$A$701='Oversikt'!$C$6)*('Innmelding'!$B$2:$B$701='Oversikt'!$C$5)*('Innmelding'!$C$2:$C$701=$B4)*('Innmelding'!$D$2:$D$701='Oversikt'!G$8)*'Innmelding'!$H$2:$H$701)))</f>
        <v/>
      </c>
      <c r="S4">
        <f>IF(OR($B4="",'Oversikt'!H$8="",'Oversikt'!$C$6=""),0,SUMPRODUCT(MAX(('Innmelding'!$A$2:$A$701='Oversikt'!$C$6)*('Innmelding'!$B$2:$B$701='Oversikt'!$C$5)*('Innmelding'!$C$2:$C$701=$B4)*('Innmelding'!$D$2:$D$701='Oversikt'!H$8)*'Innmelding'!$H$2:$H$701)))</f>
        <v/>
      </c>
      <c r="T4">
        <f>IF(OR($B4="",'Oversikt'!I$8="",'Oversikt'!$C$6=""),0,SUMPRODUCT(MAX(('Innmelding'!$A$2:$A$701='Oversikt'!$C$6)*('Innmelding'!$B$2:$B$701='Oversikt'!$C$5)*('Innmelding'!$C$2:$C$701=$B4)*('Innmelding'!$D$2:$D$701='Oversikt'!I$8)*'Innmelding'!$H$2:$H$701)))</f>
        <v/>
      </c>
      <c r="U4">
        <f>IF(OR($B4="",'Oversikt'!J$8="",'Oversikt'!$C$6=""),0,SUMPRODUCT(MAX(('Innmelding'!$A$2:$A$701='Oversikt'!$C$6)*('Innmelding'!$B$2:$B$701='Oversikt'!$C$5)*('Innmelding'!$C$2:$C$701=$B4)*('Innmelding'!$D$2:$D$701='Oversikt'!J$8)*'Innmelding'!$H$2:$H$701)))</f>
        <v/>
      </c>
      <c r="V4">
        <f>IF(OR($B4="",'Oversikt'!K$8="",'Oversikt'!$C$6=""),0,SUMPRODUCT(MAX(('Innmelding'!$A$2:$A$701='Oversikt'!$C$6)*('Innmelding'!$B$2:$B$701='Oversikt'!$C$5)*('Innmelding'!$C$2:$C$701=$B4)*('Innmelding'!$D$2:$D$701='Oversikt'!K$8)*'Innmelding'!$H$2:$H$701)))</f>
        <v/>
      </c>
      <c r="W4">
        <f>IF(OR($B4="",'Oversikt'!L$8="",'Oversikt'!$C$6=""),0,SUMPRODUCT(MAX(('Innmelding'!$A$2:$A$701='Oversikt'!$C$6)*('Innmelding'!$B$2:$B$701='Oversikt'!$C$5)*('Innmelding'!$C$2:$C$701=$B4)*('Innmelding'!$D$2:$D$701='Oversikt'!L$8)*'Innmelding'!$H$2:$H$701)))</f>
        <v/>
      </c>
      <c r="X4">
        <f>IF(OR($B4="",'Oversikt'!M$8="",'Oversikt'!$C$6=""),0,SUMPRODUCT(MAX(('Innmelding'!$A$2:$A$701='Oversikt'!$C$6)*('Innmelding'!$B$2:$B$701='Oversikt'!$C$5)*('Innmelding'!$C$2:$C$701=$B4)*('Innmelding'!$D$2:$D$701='Oversikt'!M$8)*'Innmelding'!$H$2:$H$701)))</f>
        <v/>
      </c>
      <c r="Y4">
        <f>IF(OR($B4="",'Oversikt'!N$8="",'Oversikt'!$C$6=""),0,SUMPRODUCT(MAX(('Innmelding'!$A$2:$A$701='Oversikt'!$C$6)*('Innmelding'!$B$2:$B$701='Oversikt'!$C$5)*('Innmelding'!$C$2:$C$701=$B4)*('Innmelding'!$D$2:$D$701='Oversikt'!N$8)*'Innmelding'!$H$2:$H$701)))</f>
        <v/>
      </c>
      <c r="Z4">
        <f>IF(OR($B4="",'Oversikt'!O$8="",'Oversikt'!$C$6=""),0,SUMPRODUCT(MAX(('Innmelding'!$A$2:$A$701='Oversikt'!$C$6)*('Innmelding'!$B$2:$B$701='Oversikt'!$C$5)*('Innmelding'!$C$2:$C$701=$B4)*('Innmelding'!$D$2:$D$701='Oversikt'!O$8)*'Innmelding'!$H$2:$H$701)))</f>
        <v/>
      </c>
      <c r="AA4">
        <f>IF(OR($B4="",'Oversikt'!P$8="",'Oversikt'!$C$6=""),0,SUMPRODUCT(MAX(('Innmelding'!$A$2:$A$701='Oversikt'!$C$6)*('Innmelding'!$B$2:$B$701='Oversikt'!$C$5)*('Innmelding'!$C$2:$C$701=$B4)*('Innmelding'!$D$2:$D$701='Oversikt'!P$8)*'Innmelding'!$H$2:$H$701)))</f>
        <v/>
      </c>
      <c r="AB4">
        <f>IF(OR($B4="",'Oversikt'!Q$8="",'Oversikt'!$C$6=""),0,SUMPRODUCT(MAX(('Innmelding'!$A$2:$A$701='Oversikt'!$C$6)*('Innmelding'!$B$2:$B$701='Oversikt'!$C$5)*('Innmelding'!$C$2:$C$701=$B4)*('Innmelding'!$D$2:$D$701='Oversikt'!Q$8)*'Innmelding'!$H$2:$H$701)))</f>
        <v/>
      </c>
      <c r="AC4">
        <f>IF(OR($B4="",'Oversikt'!F$8=""),0,SUMPRODUCT(('Innmelding'!$A$2:$A$701='Oversikt'!$C$4)*('Innmelding'!$B$2:$B$701='Oversikt'!$C$5)*('Innmelding'!$C$2:$C$701=$B4)*('Innmelding'!$D$2:$D$701='Oversikt'!F$8)*('Innmelding'!$H$2:$H$701&gt;0)))</f>
        <v/>
      </c>
      <c r="AD4">
        <f>IF(OR($B4="",'Oversikt'!G$8=""),0,SUMPRODUCT(('Innmelding'!$A$2:$A$701='Oversikt'!$C$4)*('Innmelding'!$B$2:$B$701='Oversikt'!$C$5)*('Innmelding'!$C$2:$C$701=$B4)*('Innmelding'!$D$2:$D$701='Oversikt'!G$8)*('Innmelding'!$H$2:$H$701&gt;0)))</f>
        <v/>
      </c>
      <c r="AE4">
        <f>IF(OR($B4="",'Oversikt'!H$8=""),0,SUMPRODUCT(('Innmelding'!$A$2:$A$701='Oversikt'!$C$4)*('Innmelding'!$B$2:$B$701='Oversikt'!$C$5)*('Innmelding'!$C$2:$C$701=$B4)*('Innmelding'!$D$2:$D$701='Oversikt'!H$8)*('Innmelding'!$H$2:$H$701&gt;0)))</f>
        <v/>
      </c>
      <c r="AF4">
        <f>IF(OR($B4="",'Oversikt'!I$8=""),0,SUMPRODUCT(('Innmelding'!$A$2:$A$701='Oversikt'!$C$4)*('Innmelding'!$B$2:$B$701='Oversikt'!$C$5)*('Innmelding'!$C$2:$C$701=$B4)*('Innmelding'!$D$2:$D$701='Oversikt'!I$8)*('Innmelding'!$H$2:$H$701&gt;0)))</f>
        <v/>
      </c>
      <c r="AG4">
        <f>IF(OR($B4="",'Oversikt'!J$8=""),0,SUMPRODUCT(('Innmelding'!$A$2:$A$701='Oversikt'!$C$4)*('Innmelding'!$B$2:$B$701='Oversikt'!$C$5)*('Innmelding'!$C$2:$C$701=$B4)*('Innmelding'!$D$2:$D$701='Oversikt'!J$8)*('Innmelding'!$H$2:$H$701&gt;0)))</f>
        <v/>
      </c>
      <c r="AH4">
        <f>IF(OR($B4="",'Oversikt'!K$8=""),0,SUMPRODUCT(('Innmelding'!$A$2:$A$701='Oversikt'!$C$4)*('Innmelding'!$B$2:$B$701='Oversikt'!$C$5)*('Innmelding'!$C$2:$C$701=$B4)*('Innmelding'!$D$2:$D$701='Oversikt'!K$8)*('Innmelding'!$H$2:$H$701&gt;0)))</f>
        <v/>
      </c>
      <c r="AI4">
        <f>IF(OR($B4="",'Oversikt'!L$8=""),0,SUMPRODUCT(('Innmelding'!$A$2:$A$701='Oversikt'!$C$4)*('Innmelding'!$B$2:$B$701='Oversikt'!$C$5)*('Innmelding'!$C$2:$C$701=$B4)*('Innmelding'!$D$2:$D$701='Oversikt'!L$8)*('Innmelding'!$H$2:$H$701&gt;0)))</f>
        <v/>
      </c>
      <c r="AJ4">
        <f>IF(OR($B4="",'Oversikt'!M$8=""),0,SUMPRODUCT(('Innmelding'!$A$2:$A$701='Oversikt'!$C$4)*('Innmelding'!$B$2:$B$701='Oversikt'!$C$5)*('Innmelding'!$C$2:$C$701=$B4)*('Innmelding'!$D$2:$D$701='Oversikt'!M$8)*('Innmelding'!$H$2:$H$701&gt;0)))</f>
        <v/>
      </c>
      <c r="AK4">
        <f>IF(OR($B4="",'Oversikt'!N$8=""),0,SUMPRODUCT(('Innmelding'!$A$2:$A$701='Oversikt'!$C$4)*('Innmelding'!$B$2:$B$701='Oversikt'!$C$5)*('Innmelding'!$C$2:$C$701=$B4)*('Innmelding'!$D$2:$D$701='Oversikt'!N$8)*('Innmelding'!$H$2:$H$701&gt;0)))</f>
        <v/>
      </c>
      <c r="AL4">
        <f>IF(OR($B4="",'Oversikt'!O$8=""),0,SUMPRODUCT(('Innmelding'!$A$2:$A$701='Oversikt'!$C$4)*('Innmelding'!$B$2:$B$701='Oversikt'!$C$5)*('Innmelding'!$C$2:$C$701=$B4)*('Innmelding'!$D$2:$D$701='Oversikt'!O$8)*('Innmelding'!$H$2:$H$701&gt;0)))</f>
        <v/>
      </c>
      <c r="AM4">
        <f>IF(OR($B4="",'Oversikt'!P$8=""),0,SUMPRODUCT(('Innmelding'!$A$2:$A$701='Oversikt'!$C$4)*('Innmelding'!$B$2:$B$701='Oversikt'!$C$5)*('Innmelding'!$C$2:$C$701=$B4)*('Innmelding'!$D$2:$D$701='Oversikt'!P$8)*('Innmelding'!$H$2:$H$701&gt;0)))</f>
        <v/>
      </c>
      <c r="AN4">
        <f>IF(OR($B4="",'Oversikt'!Q$8=""),0,SUMPRODUCT(('Innmelding'!$A$2:$A$701='Oversikt'!$C$4)*('Innmelding'!$B$2:$B$701='Oversikt'!$C$5)*('Innmelding'!$C$2:$C$701=$B4)*('Innmelding'!$D$2:$D$701='Oversikt'!Q$8)*('Innmelding'!$H$2:$H$701&gt;0)))</f>
        <v/>
      </c>
    </row>
    <row r="5">
      <c r="A5" t="n">
        <v>4</v>
      </c>
      <c r="B5">
        <f>IFERROR(INDEX('Elevar'!$A$2:$AZ$41,$A5,MATCH('Oversikt'!$C$5,'Elevar'!$A$1:$AZ$1,0))&amp;"","")</f>
        <v/>
      </c>
      <c r="C5">
        <f>IF($B5="",-1-$A5/1000,COUNTIF($E5:$P5,3)*10000+COUNTIF($E5:$P5,2)*100+COUNTIF($E5:$P5,1)+(100-$A5)/1000)</f>
        <v/>
      </c>
      <c r="D5">
        <f>MATCH(LARGE($C$2:$C$41,$A5),$C$2:$C$41,0)</f>
        <v/>
      </c>
      <c r="E5">
        <f>IF(OR($B5="",'Oversikt'!F$8=""),0,SUMPRODUCT(MAX(('Innmelding'!$A$2:$A$701='Oversikt'!$C$4)*('Innmelding'!$B$2:$B$701='Oversikt'!$C$5)*('Innmelding'!$C$2:$C$701=$B5)*('Innmelding'!$D$2:$D$701='Oversikt'!F$8)*'Innmelding'!$H$2:$H$701)))</f>
        <v/>
      </c>
      <c r="F5">
        <f>IF(OR($B5="",'Oversikt'!G$8=""),0,SUMPRODUCT(MAX(('Innmelding'!$A$2:$A$701='Oversikt'!$C$4)*('Innmelding'!$B$2:$B$701='Oversikt'!$C$5)*('Innmelding'!$C$2:$C$701=$B5)*('Innmelding'!$D$2:$D$701='Oversikt'!G$8)*'Innmelding'!$H$2:$H$701)))</f>
        <v/>
      </c>
      <c r="G5">
        <f>IF(OR($B5="",'Oversikt'!H$8=""),0,SUMPRODUCT(MAX(('Innmelding'!$A$2:$A$701='Oversikt'!$C$4)*('Innmelding'!$B$2:$B$701='Oversikt'!$C$5)*('Innmelding'!$C$2:$C$701=$B5)*('Innmelding'!$D$2:$D$701='Oversikt'!H$8)*'Innmelding'!$H$2:$H$701)))</f>
        <v/>
      </c>
      <c r="H5">
        <f>IF(OR($B5="",'Oversikt'!I$8=""),0,SUMPRODUCT(MAX(('Innmelding'!$A$2:$A$701='Oversikt'!$C$4)*('Innmelding'!$B$2:$B$701='Oversikt'!$C$5)*('Innmelding'!$C$2:$C$701=$B5)*('Innmelding'!$D$2:$D$701='Oversikt'!I$8)*'Innmelding'!$H$2:$H$701)))</f>
        <v/>
      </c>
      <c r="I5">
        <f>IF(OR($B5="",'Oversikt'!J$8=""),0,SUMPRODUCT(MAX(('Innmelding'!$A$2:$A$701='Oversikt'!$C$4)*('Innmelding'!$B$2:$B$701='Oversikt'!$C$5)*('Innmelding'!$C$2:$C$701=$B5)*('Innmelding'!$D$2:$D$701='Oversikt'!J$8)*'Innmelding'!$H$2:$H$701)))</f>
        <v/>
      </c>
      <c r="J5">
        <f>IF(OR($B5="",'Oversikt'!K$8=""),0,SUMPRODUCT(MAX(('Innmelding'!$A$2:$A$701='Oversikt'!$C$4)*('Innmelding'!$B$2:$B$701='Oversikt'!$C$5)*('Innmelding'!$C$2:$C$701=$B5)*('Innmelding'!$D$2:$D$701='Oversikt'!K$8)*'Innmelding'!$H$2:$H$701)))</f>
        <v/>
      </c>
      <c r="K5">
        <f>IF(OR($B5="",'Oversikt'!L$8=""),0,SUMPRODUCT(MAX(('Innmelding'!$A$2:$A$701='Oversikt'!$C$4)*('Innmelding'!$B$2:$B$701='Oversikt'!$C$5)*('Innmelding'!$C$2:$C$701=$B5)*('Innmelding'!$D$2:$D$701='Oversikt'!L$8)*'Innmelding'!$H$2:$H$701)))</f>
        <v/>
      </c>
      <c r="L5">
        <f>IF(OR($B5="",'Oversikt'!M$8=""),0,SUMPRODUCT(MAX(('Innmelding'!$A$2:$A$701='Oversikt'!$C$4)*('Innmelding'!$B$2:$B$701='Oversikt'!$C$5)*('Innmelding'!$C$2:$C$701=$B5)*('Innmelding'!$D$2:$D$701='Oversikt'!M$8)*'Innmelding'!$H$2:$H$701)))</f>
        <v/>
      </c>
      <c r="M5">
        <f>IF(OR($B5="",'Oversikt'!N$8=""),0,SUMPRODUCT(MAX(('Innmelding'!$A$2:$A$701='Oversikt'!$C$4)*('Innmelding'!$B$2:$B$701='Oversikt'!$C$5)*('Innmelding'!$C$2:$C$701=$B5)*('Innmelding'!$D$2:$D$701='Oversikt'!N$8)*'Innmelding'!$H$2:$H$701)))</f>
        <v/>
      </c>
      <c r="N5">
        <f>IF(OR($B5="",'Oversikt'!O$8=""),0,SUMPRODUCT(MAX(('Innmelding'!$A$2:$A$701='Oversikt'!$C$4)*('Innmelding'!$B$2:$B$701='Oversikt'!$C$5)*('Innmelding'!$C$2:$C$701=$B5)*('Innmelding'!$D$2:$D$701='Oversikt'!O$8)*'Innmelding'!$H$2:$H$701)))</f>
        <v/>
      </c>
      <c r="O5">
        <f>IF(OR($B5="",'Oversikt'!P$8=""),0,SUMPRODUCT(MAX(('Innmelding'!$A$2:$A$701='Oversikt'!$C$4)*('Innmelding'!$B$2:$B$701='Oversikt'!$C$5)*('Innmelding'!$C$2:$C$701=$B5)*('Innmelding'!$D$2:$D$701='Oversikt'!P$8)*'Innmelding'!$H$2:$H$701)))</f>
        <v/>
      </c>
      <c r="P5">
        <f>IF(OR($B5="",'Oversikt'!Q$8=""),0,SUMPRODUCT(MAX(('Innmelding'!$A$2:$A$701='Oversikt'!$C$4)*('Innmelding'!$B$2:$B$701='Oversikt'!$C$5)*('Innmelding'!$C$2:$C$701=$B5)*('Innmelding'!$D$2:$D$701='Oversikt'!Q$8)*'Innmelding'!$H$2:$H$701)))</f>
        <v/>
      </c>
      <c r="Q5">
        <f>IF(OR($B5="",'Oversikt'!F$8="",'Oversikt'!$C$6=""),0,SUMPRODUCT(MAX(('Innmelding'!$A$2:$A$701='Oversikt'!$C$6)*('Innmelding'!$B$2:$B$701='Oversikt'!$C$5)*('Innmelding'!$C$2:$C$701=$B5)*('Innmelding'!$D$2:$D$701='Oversikt'!F$8)*'Innmelding'!$H$2:$H$701)))</f>
        <v/>
      </c>
      <c r="R5">
        <f>IF(OR($B5="",'Oversikt'!G$8="",'Oversikt'!$C$6=""),0,SUMPRODUCT(MAX(('Innmelding'!$A$2:$A$701='Oversikt'!$C$6)*('Innmelding'!$B$2:$B$701='Oversikt'!$C$5)*('Innmelding'!$C$2:$C$701=$B5)*('Innmelding'!$D$2:$D$701='Oversikt'!G$8)*'Innmelding'!$H$2:$H$701)))</f>
        <v/>
      </c>
      <c r="S5">
        <f>IF(OR($B5="",'Oversikt'!H$8="",'Oversikt'!$C$6=""),0,SUMPRODUCT(MAX(('Innmelding'!$A$2:$A$701='Oversikt'!$C$6)*('Innmelding'!$B$2:$B$701='Oversikt'!$C$5)*('Innmelding'!$C$2:$C$701=$B5)*('Innmelding'!$D$2:$D$701='Oversikt'!H$8)*'Innmelding'!$H$2:$H$701)))</f>
        <v/>
      </c>
      <c r="T5">
        <f>IF(OR($B5="",'Oversikt'!I$8="",'Oversikt'!$C$6=""),0,SUMPRODUCT(MAX(('Innmelding'!$A$2:$A$701='Oversikt'!$C$6)*('Innmelding'!$B$2:$B$701='Oversikt'!$C$5)*('Innmelding'!$C$2:$C$701=$B5)*('Innmelding'!$D$2:$D$701='Oversikt'!I$8)*'Innmelding'!$H$2:$H$701)))</f>
        <v/>
      </c>
      <c r="U5">
        <f>IF(OR($B5="",'Oversikt'!J$8="",'Oversikt'!$C$6=""),0,SUMPRODUCT(MAX(('Innmelding'!$A$2:$A$701='Oversikt'!$C$6)*('Innmelding'!$B$2:$B$701='Oversikt'!$C$5)*('Innmelding'!$C$2:$C$701=$B5)*('Innmelding'!$D$2:$D$701='Oversikt'!J$8)*'Innmelding'!$H$2:$H$701)))</f>
        <v/>
      </c>
      <c r="V5">
        <f>IF(OR($B5="",'Oversikt'!K$8="",'Oversikt'!$C$6=""),0,SUMPRODUCT(MAX(('Innmelding'!$A$2:$A$701='Oversikt'!$C$6)*('Innmelding'!$B$2:$B$701='Oversikt'!$C$5)*('Innmelding'!$C$2:$C$701=$B5)*('Innmelding'!$D$2:$D$701='Oversikt'!K$8)*'Innmelding'!$H$2:$H$701)))</f>
        <v/>
      </c>
      <c r="W5">
        <f>IF(OR($B5="",'Oversikt'!L$8="",'Oversikt'!$C$6=""),0,SUMPRODUCT(MAX(('Innmelding'!$A$2:$A$701='Oversikt'!$C$6)*('Innmelding'!$B$2:$B$701='Oversikt'!$C$5)*('Innmelding'!$C$2:$C$701=$B5)*('Innmelding'!$D$2:$D$701='Oversikt'!L$8)*'Innmelding'!$H$2:$H$701)))</f>
        <v/>
      </c>
      <c r="X5">
        <f>IF(OR($B5="",'Oversikt'!M$8="",'Oversikt'!$C$6=""),0,SUMPRODUCT(MAX(('Innmelding'!$A$2:$A$701='Oversikt'!$C$6)*('Innmelding'!$B$2:$B$701='Oversikt'!$C$5)*('Innmelding'!$C$2:$C$701=$B5)*('Innmelding'!$D$2:$D$701='Oversikt'!M$8)*'Innmelding'!$H$2:$H$701)))</f>
        <v/>
      </c>
      <c r="Y5">
        <f>IF(OR($B5="",'Oversikt'!N$8="",'Oversikt'!$C$6=""),0,SUMPRODUCT(MAX(('Innmelding'!$A$2:$A$701='Oversikt'!$C$6)*('Innmelding'!$B$2:$B$701='Oversikt'!$C$5)*('Innmelding'!$C$2:$C$701=$B5)*('Innmelding'!$D$2:$D$701='Oversikt'!N$8)*'Innmelding'!$H$2:$H$701)))</f>
        <v/>
      </c>
      <c r="Z5">
        <f>IF(OR($B5="",'Oversikt'!O$8="",'Oversikt'!$C$6=""),0,SUMPRODUCT(MAX(('Innmelding'!$A$2:$A$701='Oversikt'!$C$6)*('Innmelding'!$B$2:$B$701='Oversikt'!$C$5)*('Innmelding'!$C$2:$C$701=$B5)*('Innmelding'!$D$2:$D$701='Oversikt'!O$8)*'Innmelding'!$H$2:$H$701)))</f>
        <v/>
      </c>
      <c r="AA5">
        <f>IF(OR($B5="",'Oversikt'!P$8="",'Oversikt'!$C$6=""),0,SUMPRODUCT(MAX(('Innmelding'!$A$2:$A$701='Oversikt'!$C$6)*('Innmelding'!$B$2:$B$701='Oversikt'!$C$5)*('Innmelding'!$C$2:$C$701=$B5)*('Innmelding'!$D$2:$D$701='Oversikt'!P$8)*'Innmelding'!$H$2:$H$701)))</f>
        <v/>
      </c>
      <c r="AB5">
        <f>IF(OR($B5="",'Oversikt'!Q$8="",'Oversikt'!$C$6=""),0,SUMPRODUCT(MAX(('Innmelding'!$A$2:$A$701='Oversikt'!$C$6)*('Innmelding'!$B$2:$B$701='Oversikt'!$C$5)*('Innmelding'!$C$2:$C$701=$B5)*('Innmelding'!$D$2:$D$701='Oversikt'!Q$8)*'Innmelding'!$H$2:$H$701)))</f>
        <v/>
      </c>
      <c r="AC5">
        <f>IF(OR($B5="",'Oversikt'!F$8=""),0,SUMPRODUCT(('Innmelding'!$A$2:$A$701='Oversikt'!$C$4)*('Innmelding'!$B$2:$B$701='Oversikt'!$C$5)*('Innmelding'!$C$2:$C$701=$B5)*('Innmelding'!$D$2:$D$701='Oversikt'!F$8)*('Innmelding'!$H$2:$H$701&gt;0)))</f>
        <v/>
      </c>
      <c r="AD5">
        <f>IF(OR($B5="",'Oversikt'!G$8=""),0,SUMPRODUCT(('Innmelding'!$A$2:$A$701='Oversikt'!$C$4)*('Innmelding'!$B$2:$B$701='Oversikt'!$C$5)*('Innmelding'!$C$2:$C$701=$B5)*('Innmelding'!$D$2:$D$701='Oversikt'!G$8)*('Innmelding'!$H$2:$H$701&gt;0)))</f>
        <v/>
      </c>
      <c r="AE5">
        <f>IF(OR($B5="",'Oversikt'!H$8=""),0,SUMPRODUCT(('Innmelding'!$A$2:$A$701='Oversikt'!$C$4)*('Innmelding'!$B$2:$B$701='Oversikt'!$C$5)*('Innmelding'!$C$2:$C$701=$B5)*('Innmelding'!$D$2:$D$701='Oversikt'!H$8)*('Innmelding'!$H$2:$H$701&gt;0)))</f>
        <v/>
      </c>
      <c r="AF5">
        <f>IF(OR($B5="",'Oversikt'!I$8=""),0,SUMPRODUCT(('Innmelding'!$A$2:$A$701='Oversikt'!$C$4)*('Innmelding'!$B$2:$B$701='Oversikt'!$C$5)*('Innmelding'!$C$2:$C$701=$B5)*('Innmelding'!$D$2:$D$701='Oversikt'!I$8)*('Innmelding'!$H$2:$H$701&gt;0)))</f>
        <v/>
      </c>
      <c r="AG5">
        <f>IF(OR($B5="",'Oversikt'!J$8=""),0,SUMPRODUCT(('Innmelding'!$A$2:$A$701='Oversikt'!$C$4)*('Innmelding'!$B$2:$B$701='Oversikt'!$C$5)*('Innmelding'!$C$2:$C$701=$B5)*('Innmelding'!$D$2:$D$701='Oversikt'!J$8)*('Innmelding'!$H$2:$H$701&gt;0)))</f>
        <v/>
      </c>
      <c r="AH5">
        <f>IF(OR($B5="",'Oversikt'!K$8=""),0,SUMPRODUCT(('Innmelding'!$A$2:$A$701='Oversikt'!$C$4)*('Innmelding'!$B$2:$B$701='Oversikt'!$C$5)*('Innmelding'!$C$2:$C$701=$B5)*('Innmelding'!$D$2:$D$701='Oversikt'!K$8)*('Innmelding'!$H$2:$H$701&gt;0)))</f>
        <v/>
      </c>
      <c r="AI5">
        <f>IF(OR($B5="",'Oversikt'!L$8=""),0,SUMPRODUCT(('Innmelding'!$A$2:$A$701='Oversikt'!$C$4)*('Innmelding'!$B$2:$B$701='Oversikt'!$C$5)*('Innmelding'!$C$2:$C$701=$B5)*('Innmelding'!$D$2:$D$701='Oversikt'!L$8)*('Innmelding'!$H$2:$H$701&gt;0)))</f>
        <v/>
      </c>
      <c r="AJ5">
        <f>IF(OR($B5="",'Oversikt'!M$8=""),0,SUMPRODUCT(('Innmelding'!$A$2:$A$701='Oversikt'!$C$4)*('Innmelding'!$B$2:$B$701='Oversikt'!$C$5)*('Innmelding'!$C$2:$C$701=$B5)*('Innmelding'!$D$2:$D$701='Oversikt'!M$8)*('Innmelding'!$H$2:$H$701&gt;0)))</f>
        <v/>
      </c>
      <c r="AK5">
        <f>IF(OR($B5="",'Oversikt'!N$8=""),0,SUMPRODUCT(('Innmelding'!$A$2:$A$701='Oversikt'!$C$4)*('Innmelding'!$B$2:$B$701='Oversikt'!$C$5)*('Innmelding'!$C$2:$C$701=$B5)*('Innmelding'!$D$2:$D$701='Oversikt'!N$8)*('Innmelding'!$H$2:$H$701&gt;0)))</f>
        <v/>
      </c>
      <c r="AL5">
        <f>IF(OR($B5="",'Oversikt'!O$8=""),0,SUMPRODUCT(('Innmelding'!$A$2:$A$701='Oversikt'!$C$4)*('Innmelding'!$B$2:$B$701='Oversikt'!$C$5)*('Innmelding'!$C$2:$C$701=$B5)*('Innmelding'!$D$2:$D$701='Oversikt'!O$8)*('Innmelding'!$H$2:$H$701&gt;0)))</f>
        <v/>
      </c>
      <c r="AM5">
        <f>IF(OR($B5="",'Oversikt'!P$8=""),0,SUMPRODUCT(('Innmelding'!$A$2:$A$701='Oversikt'!$C$4)*('Innmelding'!$B$2:$B$701='Oversikt'!$C$5)*('Innmelding'!$C$2:$C$701=$B5)*('Innmelding'!$D$2:$D$701='Oversikt'!P$8)*('Innmelding'!$H$2:$H$701&gt;0)))</f>
        <v/>
      </c>
      <c r="AN5">
        <f>IF(OR($B5="",'Oversikt'!Q$8=""),0,SUMPRODUCT(('Innmelding'!$A$2:$A$701='Oversikt'!$C$4)*('Innmelding'!$B$2:$B$701='Oversikt'!$C$5)*('Innmelding'!$C$2:$C$701=$B5)*('Innmelding'!$D$2:$D$701='Oversikt'!Q$8)*('Innmelding'!$H$2:$H$701&gt;0)))</f>
        <v/>
      </c>
    </row>
    <row r="6">
      <c r="A6" t="n">
        <v>5</v>
      </c>
      <c r="B6">
        <f>IFERROR(INDEX('Elevar'!$A$2:$AZ$41,$A6,MATCH('Oversikt'!$C$5,'Elevar'!$A$1:$AZ$1,0))&amp;"","")</f>
        <v/>
      </c>
      <c r="C6">
        <f>IF($B6="",-1-$A6/1000,COUNTIF($E6:$P6,3)*10000+COUNTIF($E6:$P6,2)*100+COUNTIF($E6:$P6,1)+(100-$A6)/1000)</f>
        <v/>
      </c>
      <c r="D6">
        <f>MATCH(LARGE($C$2:$C$41,$A6),$C$2:$C$41,0)</f>
        <v/>
      </c>
      <c r="E6">
        <f>IF(OR($B6="",'Oversikt'!F$8=""),0,SUMPRODUCT(MAX(('Innmelding'!$A$2:$A$701='Oversikt'!$C$4)*('Innmelding'!$B$2:$B$701='Oversikt'!$C$5)*('Innmelding'!$C$2:$C$701=$B6)*('Innmelding'!$D$2:$D$701='Oversikt'!F$8)*'Innmelding'!$H$2:$H$701)))</f>
        <v/>
      </c>
      <c r="F6">
        <f>IF(OR($B6="",'Oversikt'!G$8=""),0,SUMPRODUCT(MAX(('Innmelding'!$A$2:$A$701='Oversikt'!$C$4)*('Innmelding'!$B$2:$B$701='Oversikt'!$C$5)*('Innmelding'!$C$2:$C$701=$B6)*('Innmelding'!$D$2:$D$701='Oversikt'!G$8)*'Innmelding'!$H$2:$H$701)))</f>
        <v/>
      </c>
      <c r="G6">
        <f>IF(OR($B6="",'Oversikt'!H$8=""),0,SUMPRODUCT(MAX(('Innmelding'!$A$2:$A$701='Oversikt'!$C$4)*('Innmelding'!$B$2:$B$701='Oversikt'!$C$5)*('Innmelding'!$C$2:$C$701=$B6)*('Innmelding'!$D$2:$D$701='Oversikt'!H$8)*'Innmelding'!$H$2:$H$701)))</f>
        <v/>
      </c>
      <c r="H6">
        <f>IF(OR($B6="",'Oversikt'!I$8=""),0,SUMPRODUCT(MAX(('Innmelding'!$A$2:$A$701='Oversikt'!$C$4)*('Innmelding'!$B$2:$B$701='Oversikt'!$C$5)*('Innmelding'!$C$2:$C$701=$B6)*('Innmelding'!$D$2:$D$701='Oversikt'!I$8)*'Innmelding'!$H$2:$H$701)))</f>
        <v/>
      </c>
      <c r="I6">
        <f>IF(OR($B6="",'Oversikt'!J$8=""),0,SUMPRODUCT(MAX(('Innmelding'!$A$2:$A$701='Oversikt'!$C$4)*('Innmelding'!$B$2:$B$701='Oversikt'!$C$5)*('Innmelding'!$C$2:$C$701=$B6)*('Innmelding'!$D$2:$D$701='Oversikt'!J$8)*'Innmelding'!$H$2:$H$701)))</f>
        <v/>
      </c>
      <c r="J6">
        <f>IF(OR($B6="",'Oversikt'!K$8=""),0,SUMPRODUCT(MAX(('Innmelding'!$A$2:$A$701='Oversikt'!$C$4)*('Innmelding'!$B$2:$B$701='Oversikt'!$C$5)*('Innmelding'!$C$2:$C$701=$B6)*('Innmelding'!$D$2:$D$701='Oversikt'!K$8)*'Innmelding'!$H$2:$H$701)))</f>
        <v/>
      </c>
      <c r="K6">
        <f>IF(OR($B6="",'Oversikt'!L$8=""),0,SUMPRODUCT(MAX(('Innmelding'!$A$2:$A$701='Oversikt'!$C$4)*('Innmelding'!$B$2:$B$701='Oversikt'!$C$5)*('Innmelding'!$C$2:$C$701=$B6)*('Innmelding'!$D$2:$D$701='Oversikt'!L$8)*'Innmelding'!$H$2:$H$701)))</f>
        <v/>
      </c>
      <c r="L6">
        <f>IF(OR($B6="",'Oversikt'!M$8=""),0,SUMPRODUCT(MAX(('Innmelding'!$A$2:$A$701='Oversikt'!$C$4)*('Innmelding'!$B$2:$B$701='Oversikt'!$C$5)*('Innmelding'!$C$2:$C$701=$B6)*('Innmelding'!$D$2:$D$701='Oversikt'!M$8)*'Innmelding'!$H$2:$H$701)))</f>
        <v/>
      </c>
      <c r="M6">
        <f>IF(OR($B6="",'Oversikt'!N$8=""),0,SUMPRODUCT(MAX(('Innmelding'!$A$2:$A$701='Oversikt'!$C$4)*('Innmelding'!$B$2:$B$701='Oversikt'!$C$5)*('Innmelding'!$C$2:$C$701=$B6)*('Innmelding'!$D$2:$D$701='Oversikt'!N$8)*'Innmelding'!$H$2:$H$701)))</f>
        <v/>
      </c>
      <c r="N6">
        <f>IF(OR($B6="",'Oversikt'!O$8=""),0,SUMPRODUCT(MAX(('Innmelding'!$A$2:$A$701='Oversikt'!$C$4)*('Innmelding'!$B$2:$B$701='Oversikt'!$C$5)*('Innmelding'!$C$2:$C$701=$B6)*('Innmelding'!$D$2:$D$701='Oversikt'!O$8)*'Innmelding'!$H$2:$H$701)))</f>
        <v/>
      </c>
      <c r="O6">
        <f>IF(OR($B6="",'Oversikt'!P$8=""),0,SUMPRODUCT(MAX(('Innmelding'!$A$2:$A$701='Oversikt'!$C$4)*('Innmelding'!$B$2:$B$701='Oversikt'!$C$5)*('Innmelding'!$C$2:$C$701=$B6)*('Innmelding'!$D$2:$D$701='Oversikt'!P$8)*'Innmelding'!$H$2:$H$701)))</f>
        <v/>
      </c>
      <c r="P6">
        <f>IF(OR($B6="",'Oversikt'!Q$8=""),0,SUMPRODUCT(MAX(('Innmelding'!$A$2:$A$701='Oversikt'!$C$4)*('Innmelding'!$B$2:$B$701='Oversikt'!$C$5)*('Innmelding'!$C$2:$C$701=$B6)*('Innmelding'!$D$2:$D$701='Oversikt'!Q$8)*'Innmelding'!$H$2:$H$701)))</f>
        <v/>
      </c>
      <c r="Q6">
        <f>IF(OR($B6="",'Oversikt'!F$8="",'Oversikt'!$C$6=""),0,SUMPRODUCT(MAX(('Innmelding'!$A$2:$A$701='Oversikt'!$C$6)*('Innmelding'!$B$2:$B$701='Oversikt'!$C$5)*('Innmelding'!$C$2:$C$701=$B6)*('Innmelding'!$D$2:$D$701='Oversikt'!F$8)*'Innmelding'!$H$2:$H$701)))</f>
        <v/>
      </c>
      <c r="R6">
        <f>IF(OR($B6="",'Oversikt'!G$8="",'Oversikt'!$C$6=""),0,SUMPRODUCT(MAX(('Innmelding'!$A$2:$A$701='Oversikt'!$C$6)*('Innmelding'!$B$2:$B$701='Oversikt'!$C$5)*('Innmelding'!$C$2:$C$701=$B6)*('Innmelding'!$D$2:$D$701='Oversikt'!G$8)*'Innmelding'!$H$2:$H$701)))</f>
        <v/>
      </c>
      <c r="S6">
        <f>IF(OR($B6="",'Oversikt'!H$8="",'Oversikt'!$C$6=""),0,SUMPRODUCT(MAX(('Innmelding'!$A$2:$A$701='Oversikt'!$C$6)*('Innmelding'!$B$2:$B$701='Oversikt'!$C$5)*('Innmelding'!$C$2:$C$701=$B6)*('Innmelding'!$D$2:$D$701='Oversikt'!H$8)*'Innmelding'!$H$2:$H$701)))</f>
        <v/>
      </c>
      <c r="T6">
        <f>IF(OR($B6="",'Oversikt'!I$8="",'Oversikt'!$C$6=""),0,SUMPRODUCT(MAX(('Innmelding'!$A$2:$A$701='Oversikt'!$C$6)*('Innmelding'!$B$2:$B$701='Oversikt'!$C$5)*('Innmelding'!$C$2:$C$701=$B6)*('Innmelding'!$D$2:$D$701='Oversikt'!I$8)*'Innmelding'!$H$2:$H$701)))</f>
        <v/>
      </c>
      <c r="U6">
        <f>IF(OR($B6="",'Oversikt'!J$8="",'Oversikt'!$C$6=""),0,SUMPRODUCT(MAX(('Innmelding'!$A$2:$A$701='Oversikt'!$C$6)*('Innmelding'!$B$2:$B$701='Oversikt'!$C$5)*('Innmelding'!$C$2:$C$701=$B6)*('Innmelding'!$D$2:$D$701='Oversikt'!J$8)*'Innmelding'!$H$2:$H$701)))</f>
        <v/>
      </c>
      <c r="V6">
        <f>IF(OR($B6="",'Oversikt'!K$8="",'Oversikt'!$C$6=""),0,SUMPRODUCT(MAX(('Innmelding'!$A$2:$A$701='Oversikt'!$C$6)*('Innmelding'!$B$2:$B$701='Oversikt'!$C$5)*('Innmelding'!$C$2:$C$701=$B6)*('Innmelding'!$D$2:$D$701='Oversikt'!K$8)*'Innmelding'!$H$2:$H$701)))</f>
        <v/>
      </c>
      <c r="W6">
        <f>IF(OR($B6="",'Oversikt'!L$8="",'Oversikt'!$C$6=""),0,SUMPRODUCT(MAX(('Innmelding'!$A$2:$A$701='Oversikt'!$C$6)*('Innmelding'!$B$2:$B$701='Oversikt'!$C$5)*('Innmelding'!$C$2:$C$701=$B6)*('Innmelding'!$D$2:$D$701='Oversikt'!L$8)*'Innmelding'!$H$2:$H$701)))</f>
        <v/>
      </c>
      <c r="X6">
        <f>IF(OR($B6="",'Oversikt'!M$8="",'Oversikt'!$C$6=""),0,SUMPRODUCT(MAX(('Innmelding'!$A$2:$A$701='Oversikt'!$C$6)*('Innmelding'!$B$2:$B$701='Oversikt'!$C$5)*('Innmelding'!$C$2:$C$701=$B6)*('Innmelding'!$D$2:$D$701='Oversikt'!M$8)*'Innmelding'!$H$2:$H$701)))</f>
        <v/>
      </c>
      <c r="Y6">
        <f>IF(OR($B6="",'Oversikt'!N$8="",'Oversikt'!$C$6=""),0,SUMPRODUCT(MAX(('Innmelding'!$A$2:$A$701='Oversikt'!$C$6)*('Innmelding'!$B$2:$B$701='Oversikt'!$C$5)*('Innmelding'!$C$2:$C$701=$B6)*('Innmelding'!$D$2:$D$701='Oversikt'!N$8)*'Innmelding'!$H$2:$H$701)))</f>
        <v/>
      </c>
      <c r="Z6">
        <f>IF(OR($B6="",'Oversikt'!O$8="",'Oversikt'!$C$6=""),0,SUMPRODUCT(MAX(('Innmelding'!$A$2:$A$701='Oversikt'!$C$6)*('Innmelding'!$B$2:$B$701='Oversikt'!$C$5)*('Innmelding'!$C$2:$C$701=$B6)*('Innmelding'!$D$2:$D$701='Oversikt'!O$8)*'Innmelding'!$H$2:$H$701)))</f>
        <v/>
      </c>
      <c r="AA6">
        <f>IF(OR($B6="",'Oversikt'!P$8="",'Oversikt'!$C$6=""),0,SUMPRODUCT(MAX(('Innmelding'!$A$2:$A$701='Oversikt'!$C$6)*('Innmelding'!$B$2:$B$701='Oversikt'!$C$5)*('Innmelding'!$C$2:$C$701=$B6)*('Innmelding'!$D$2:$D$701='Oversikt'!P$8)*'Innmelding'!$H$2:$H$701)))</f>
        <v/>
      </c>
      <c r="AB6">
        <f>IF(OR($B6="",'Oversikt'!Q$8="",'Oversikt'!$C$6=""),0,SUMPRODUCT(MAX(('Innmelding'!$A$2:$A$701='Oversikt'!$C$6)*('Innmelding'!$B$2:$B$701='Oversikt'!$C$5)*('Innmelding'!$C$2:$C$701=$B6)*('Innmelding'!$D$2:$D$701='Oversikt'!Q$8)*'Innmelding'!$H$2:$H$701)))</f>
        <v/>
      </c>
      <c r="AC6">
        <f>IF(OR($B6="",'Oversikt'!F$8=""),0,SUMPRODUCT(('Innmelding'!$A$2:$A$701='Oversikt'!$C$4)*('Innmelding'!$B$2:$B$701='Oversikt'!$C$5)*('Innmelding'!$C$2:$C$701=$B6)*('Innmelding'!$D$2:$D$701='Oversikt'!F$8)*('Innmelding'!$H$2:$H$701&gt;0)))</f>
        <v/>
      </c>
      <c r="AD6">
        <f>IF(OR($B6="",'Oversikt'!G$8=""),0,SUMPRODUCT(('Innmelding'!$A$2:$A$701='Oversikt'!$C$4)*('Innmelding'!$B$2:$B$701='Oversikt'!$C$5)*('Innmelding'!$C$2:$C$701=$B6)*('Innmelding'!$D$2:$D$701='Oversikt'!G$8)*('Innmelding'!$H$2:$H$701&gt;0)))</f>
        <v/>
      </c>
      <c r="AE6">
        <f>IF(OR($B6="",'Oversikt'!H$8=""),0,SUMPRODUCT(('Innmelding'!$A$2:$A$701='Oversikt'!$C$4)*('Innmelding'!$B$2:$B$701='Oversikt'!$C$5)*('Innmelding'!$C$2:$C$701=$B6)*('Innmelding'!$D$2:$D$701='Oversikt'!H$8)*('Innmelding'!$H$2:$H$701&gt;0)))</f>
        <v/>
      </c>
      <c r="AF6">
        <f>IF(OR($B6="",'Oversikt'!I$8=""),0,SUMPRODUCT(('Innmelding'!$A$2:$A$701='Oversikt'!$C$4)*('Innmelding'!$B$2:$B$701='Oversikt'!$C$5)*('Innmelding'!$C$2:$C$701=$B6)*('Innmelding'!$D$2:$D$701='Oversikt'!I$8)*('Innmelding'!$H$2:$H$701&gt;0)))</f>
        <v/>
      </c>
      <c r="AG6">
        <f>IF(OR($B6="",'Oversikt'!J$8=""),0,SUMPRODUCT(('Innmelding'!$A$2:$A$701='Oversikt'!$C$4)*('Innmelding'!$B$2:$B$701='Oversikt'!$C$5)*('Innmelding'!$C$2:$C$701=$B6)*('Innmelding'!$D$2:$D$701='Oversikt'!J$8)*('Innmelding'!$H$2:$H$701&gt;0)))</f>
        <v/>
      </c>
      <c r="AH6">
        <f>IF(OR($B6="",'Oversikt'!K$8=""),0,SUMPRODUCT(('Innmelding'!$A$2:$A$701='Oversikt'!$C$4)*('Innmelding'!$B$2:$B$701='Oversikt'!$C$5)*('Innmelding'!$C$2:$C$701=$B6)*('Innmelding'!$D$2:$D$701='Oversikt'!K$8)*('Innmelding'!$H$2:$H$701&gt;0)))</f>
        <v/>
      </c>
      <c r="AI6">
        <f>IF(OR($B6="",'Oversikt'!L$8=""),0,SUMPRODUCT(('Innmelding'!$A$2:$A$701='Oversikt'!$C$4)*('Innmelding'!$B$2:$B$701='Oversikt'!$C$5)*('Innmelding'!$C$2:$C$701=$B6)*('Innmelding'!$D$2:$D$701='Oversikt'!L$8)*('Innmelding'!$H$2:$H$701&gt;0)))</f>
        <v/>
      </c>
      <c r="AJ6">
        <f>IF(OR($B6="",'Oversikt'!M$8=""),0,SUMPRODUCT(('Innmelding'!$A$2:$A$701='Oversikt'!$C$4)*('Innmelding'!$B$2:$B$701='Oversikt'!$C$5)*('Innmelding'!$C$2:$C$701=$B6)*('Innmelding'!$D$2:$D$701='Oversikt'!M$8)*('Innmelding'!$H$2:$H$701&gt;0)))</f>
        <v/>
      </c>
      <c r="AK6">
        <f>IF(OR($B6="",'Oversikt'!N$8=""),0,SUMPRODUCT(('Innmelding'!$A$2:$A$701='Oversikt'!$C$4)*('Innmelding'!$B$2:$B$701='Oversikt'!$C$5)*('Innmelding'!$C$2:$C$701=$B6)*('Innmelding'!$D$2:$D$701='Oversikt'!N$8)*('Innmelding'!$H$2:$H$701&gt;0)))</f>
        <v/>
      </c>
      <c r="AL6">
        <f>IF(OR($B6="",'Oversikt'!O$8=""),0,SUMPRODUCT(('Innmelding'!$A$2:$A$701='Oversikt'!$C$4)*('Innmelding'!$B$2:$B$701='Oversikt'!$C$5)*('Innmelding'!$C$2:$C$701=$B6)*('Innmelding'!$D$2:$D$701='Oversikt'!O$8)*('Innmelding'!$H$2:$H$701&gt;0)))</f>
        <v/>
      </c>
      <c r="AM6">
        <f>IF(OR($B6="",'Oversikt'!P$8=""),0,SUMPRODUCT(('Innmelding'!$A$2:$A$701='Oversikt'!$C$4)*('Innmelding'!$B$2:$B$701='Oversikt'!$C$5)*('Innmelding'!$C$2:$C$701=$B6)*('Innmelding'!$D$2:$D$701='Oversikt'!P$8)*('Innmelding'!$H$2:$H$701&gt;0)))</f>
        <v/>
      </c>
      <c r="AN6">
        <f>IF(OR($B6="",'Oversikt'!Q$8=""),0,SUMPRODUCT(('Innmelding'!$A$2:$A$701='Oversikt'!$C$4)*('Innmelding'!$B$2:$B$701='Oversikt'!$C$5)*('Innmelding'!$C$2:$C$701=$B6)*('Innmelding'!$D$2:$D$701='Oversikt'!Q$8)*('Innmelding'!$H$2:$H$701&gt;0)))</f>
        <v/>
      </c>
    </row>
    <row r="7">
      <c r="A7" t="n">
        <v>6</v>
      </c>
      <c r="B7">
        <f>IFERROR(INDEX('Elevar'!$A$2:$AZ$41,$A7,MATCH('Oversikt'!$C$5,'Elevar'!$A$1:$AZ$1,0))&amp;"","")</f>
        <v/>
      </c>
      <c r="C7">
        <f>IF($B7="",-1-$A7/1000,COUNTIF($E7:$P7,3)*10000+COUNTIF($E7:$P7,2)*100+COUNTIF($E7:$P7,1)+(100-$A7)/1000)</f>
        <v/>
      </c>
      <c r="D7">
        <f>MATCH(LARGE($C$2:$C$41,$A7),$C$2:$C$41,0)</f>
        <v/>
      </c>
      <c r="E7">
        <f>IF(OR($B7="",'Oversikt'!F$8=""),0,SUMPRODUCT(MAX(('Innmelding'!$A$2:$A$701='Oversikt'!$C$4)*('Innmelding'!$B$2:$B$701='Oversikt'!$C$5)*('Innmelding'!$C$2:$C$701=$B7)*('Innmelding'!$D$2:$D$701='Oversikt'!F$8)*'Innmelding'!$H$2:$H$701)))</f>
        <v/>
      </c>
      <c r="F7">
        <f>IF(OR($B7="",'Oversikt'!G$8=""),0,SUMPRODUCT(MAX(('Innmelding'!$A$2:$A$701='Oversikt'!$C$4)*('Innmelding'!$B$2:$B$701='Oversikt'!$C$5)*('Innmelding'!$C$2:$C$701=$B7)*('Innmelding'!$D$2:$D$701='Oversikt'!G$8)*'Innmelding'!$H$2:$H$701)))</f>
        <v/>
      </c>
      <c r="G7">
        <f>IF(OR($B7="",'Oversikt'!H$8=""),0,SUMPRODUCT(MAX(('Innmelding'!$A$2:$A$701='Oversikt'!$C$4)*('Innmelding'!$B$2:$B$701='Oversikt'!$C$5)*('Innmelding'!$C$2:$C$701=$B7)*('Innmelding'!$D$2:$D$701='Oversikt'!H$8)*'Innmelding'!$H$2:$H$701)))</f>
        <v/>
      </c>
      <c r="H7">
        <f>IF(OR($B7="",'Oversikt'!I$8=""),0,SUMPRODUCT(MAX(('Innmelding'!$A$2:$A$701='Oversikt'!$C$4)*('Innmelding'!$B$2:$B$701='Oversikt'!$C$5)*('Innmelding'!$C$2:$C$701=$B7)*('Innmelding'!$D$2:$D$701='Oversikt'!I$8)*'Innmelding'!$H$2:$H$701)))</f>
        <v/>
      </c>
      <c r="I7">
        <f>IF(OR($B7="",'Oversikt'!J$8=""),0,SUMPRODUCT(MAX(('Innmelding'!$A$2:$A$701='Oversikt'!$C$4)*('Innmelding'!$B$2:$B$701='Oversikt'!$C$5)*('Innmelding'!$C$2:$C$701=$B7)*('Innmelding'!$D$2:$D$701='Oversikt'!J$8)*'Innmelding'!$H$2:$H$701)))</f>
        <v/>
      </c>
      <c r="J7">
        <f>IF(OR($B7="",'Oversikt'!K$8=""),0,SUMPRODUCT(MAX(('Innmelding'!$A$2:$A$701='Oversikt'!$C$4)*('Innmelding'!$B$2:$B$701='Oversikt'!$C$5)*('Innmelding'!$C$2:$C$701=$B7)*('Innmelding'!$D$2:$D$701='Oversikt'!K$8)*'Innmelding'!$H$2:$H$701)))</f>
        <v/>
      </c>
      <c r="K7">
        <f>IF(OR($B7="",'Oversikt'!L$8=""),0,SUMPRODUCT(MAX(('Innmelding'!$A$2:$A$701='Oversikt'!$C$4)*('Innmelding'!$B$2:$B$701='Oversikt'!$C$5)*('Innmelding'!$C$2:$C$701=$B7)*('Innmelding'!$D$2:$D$701='Oversikt'!L$8)*'Innmelding'!$H$2:$H$701)))</f>
        <v/>
      </c>
      <c r="L7">
        <f>IF(OR($B7="",'Oversikt'!M$8=""),0,SUMPRODUCT(MAX(('Innmelding'!$A$2:$A$701='Oversikt'!$C$4)*('Innmelding'!$B$2:$B$701='Oversikt'!$C$5)*('Innmelding'!$C$2:$C$701=$B7)*('Innmelding'!$D$2:$D$701='Oversikt'!M$8)*'Innmelding'!$H$2:$H$701)))</f>
        <v/>
      </c>
      <c r="M7">
        <f>IF(OR($B7="",'Oversikt'!N$8=""),0,SUMPRODUCT(MAX(('Innmelding'!$A$2:$A$701='Oversikt'!$C$4)*('Innmelding'!$B$2:$B$701='Oversikt'!$C$5)*('Innmelding'!$C$2:$C$701=$B7)*('Innmelding'!$D$2:$D$701='Oversikt'!N$8)*'Innmelding'!$H$2:$H$701)))</f>
        <v/>
      </c>
      <c r="N7">
        <f>IF(OR($B7="",'Oversikt'!O$8=""),0,SUMPRODUCT(MAX(('Innmelding'!$A$2:$A$701='Oversikt'!$C$4)*('Innmelding'!$B$2:$B$701='Oversikt'!$C$5)*('Innmelding'!$C$2:$C$701=$B7)*('Innmelding'!$D$2:$D$701='Oversikt'!O$8)*'Innmelding'!$H$2:$H$701)))</f>
        <v/>
      </c>
      <c r="O7">
        <f>IF(OR($B7="",'Oversikt'!P$8=""),0,SUMPRODUCT(MAX(('Innmelding'!$A$2:$A$701='Oversikt'!$C$4)*('Innmelding'!$B$2:$B$701='Oversikt'!$C$5)*('Innmelding'!$C$2:$C$701=$B7)*('Innmelding'!$D$2:$D$701='Oversikt'!P$8)*'Innmelding'!$H$2:$H$701)))</f>
        <v/>
      </c>
      <c r="P7">
        <f>IF(OR($B7="",'Oversikt'!Q$8=""),0,SUMPRODUCT(MAX(('Innmelding'!$A$2:$A$701='Oversikt'!$C$4)*('Innmelding'!$B$2:$B$701='Oversikt'!$C$5)*('Innmelding'!$C$2:$C$701=$B7)*('Innmelding'!$D$2:$D$701='Oversikt'!Q$8)*'Innmelding'!$H$2:$H$701)))</f>
        <v/>
      </c>
      <c r="Q7">
        <f>IF(OR($B7="",'Oversikt'!F$8="",'Oversikt'!$C$6=""),0,SUMPRODUCT(MAX(('Innmelding'!$A$2:$A$701='Oversikt'!$C$6)*('Innmelding'!$B$2:$B$701='Oversikt'!$C$5)*('Innmelding'!$C$2:$C$701=$B7)*('Innmelding'!$D$2:$D$701='Oversikt'!F$8)*'Innmelding'!$H$2:$H$701)))</f>
        <v/>
      </c>
      <c r="R7">
        <f>IF(OR($B7="",'Oversikt'!G$8="",'Oversikt'!$C$6=""),0,SUMPRODUCT(MAX(('Innmelding'!$A$2:$A$701='Oversikt'!$C$6)*('Innmelding'!$B$2:$B$701='Oversikt'!$C$5)*('Innmelding'!$C$2:$C$701=$B7)*('Innmelding'!$D$2:$D$701='Oversikt'!G$8)*'Innmelding'!$H$2:$H$701)))</f>
        <v/>
      </c>
      <c r="S7">
        <f>IF(OR($B7="",'Oversikt'!H$8="",'Oversikt'!$C$6=""),0,SUMPRODUCT(MAX(('Innmelding'!$A$2:$A$701='Oversikt'!$C$6)*('Innmelding'!$B$2:$B$701='Oversikt'!$C$5)*('Innmelding'!$C$2:$C$701=$B7)*('Innmelding'!$D$2:$D$701='Oversikt'!H$8)*'Innmelding'!$H$2:$H$701)))</f>
        <v/>
      </c>
      <c r="T7">
        <f>IF(OR($B7="",'Oversikt'!I$8="",'Oversikt'!$C$6=""),0,SUMPRODUCT(MAX(('Innmelding'!$A$2:$A$701='Oversikt'!$C$6)*('Innmelding'!$B$2:$B$701='Oversikt'!$C$5)*('Innmelding'!$C$2:$C$701=$B7)*('Innmelding'!$D$2:$D$701='Oversikt'!I$8)*'Innmelding'!$H$2:$H$701)))</f>
        <v/>
      </c>
      <c r="U7">
        <f>IF(OR($B7="",'Oversikt'!J$8="",'Oversikt'!$C$6=""),0,SUMPRODUCT(MAX(('Innmelding'!$A$2:$A$701='Oversikt'!$C$6)*('Innmelding'!$B$2:$B$701='Oversikt'!$C$5)*('Innmelding'!$C$2:$C$701=$B7)*('Innmelding'!$D$2:$D$701='Oversikt'!J$8)*'Innmelding'!$H$2:$H$701)))</f>
        <v/>
      </c>
      <c r="V7">
        <f>IF(OR($B7="",'Oversikt'!K$8="",'Oversikt'!$C$6=""),0,SUMPRODUCT(MAX(('Innmelding'!$A$2:$A$701='Oversikt'!$C$6)*('Innmelding'!$B$2:$B$701='Oversikt'!$C$5)*('Innmelding'!$C$2:$C$701=$B7)*('Innmelding'!$D$2:$D$701='Oversikt'!K$8)*'Innmelding'!$H$2:$H$701)))</f>
        <v/>
      </c>
      <c r="W7">
        <f>IF(OR($B7="",'Oversikt'!L$8="",'Oversikt'!$C$6=""),0,SUMPRODUCT(MAX(('Innmelding'!$A$2:$A$701='Oversikt'!$C$6)*('Innmelding'!$B$2:$B$701='Oversikt'!$C$5)*('Innmelding'!$C$2:$C$701=$B7)*('Innmelding'!$D$2:$D$701='Oversikt'!L$8)*'Innmelding'!$H$2:$H$701)))</f>
        <v/>
      </c>
      <c r="X7">
        <f>IF(OR($B7="",'Oversikt'!M$8="",'Oversikt'!$C$6=""),0,SUMPRODUCT(MAX(('Innmelding'!$A$2:$A$701='Oversikt'!$C$6)*('Innmelding'!$B$2:$B$701='Oversikt'!$C$5)*('Innmelding'!$C$2:$C$701=$B7)*('Innmelding'!$D$2:$D$701='Oversikt'!M$8)*'Innmelding'!$H$2:$H$701)))</f>
        <v/>
      </c>
      <c r="Y7">
        <f>IF(OR($B7="",'Oversikt'!N$8="",'Oversikt'!$C$6=""),0,SUMPRODUCT(MAX(('Innmelding'!$A$2:$A$701='Oversikt'!$C$6)*('Innmelding'!$B$2:$B$701='Oversikt'!$C$5)*('Innmelding'!$C$2:$C$701=$B7)*('Innmelding'!$D$2:$D$701='Oversikt'!N$8)*'Innmelding'!$H$2:$H$701)))</f>
        <v/>
      </c>
      <c r="Z7">
        <f>IF(OR($B7="",'Oversikt'!O$8="",'Oversikt'!$C$6=""),0,SUMPRODUCT(MAX(('Innmelding'!$A$2:$A$701='Oversikt'!$C$6)*('Innmelding'!$B$2:$B$701='Oversikt'!$C$5)*('Innmelding'!$C$2:$C$701=$B7)*('Innmelding'!$D$2:$D$701='Oversikt'!O$8)*'Innmelding'!$H$2:$H$701)))</f>
        <v/>
      </c>
      <c r="AA7">
        <f>IF(OR($B7="",'Oversikt'!P$8="",'Oversikt'!$C$6=""),0,SUMPRODUCT(MAX(('Innmelding'!$A$2:$A$701='Oversikt'!$C$6)*('Innmelding'!$B$2:$B$701='Oversikt'!$C$5)*('Innmelding'!$C$2:$C$701=$B7)*('Innmelding'!$D$2:$D$701='Oversikt'!P$8)*'Innmelding'!$H$2:$H$701)))</f>
        <v/>
      </c>
      <c r="AB7">
        <f>IF(OR($B7="",'Oversikt'!Q$8="",'Oversikt'!$C$6=""),0,SUMPRODUCT(MAX(('Innmelding'!$A$2:$A$701='Oversikt'!$C$6)*('Innmelding'!$B$2:$B$701='Oversikt'!$C$5)*('Innmelding'!$C$2:$C$701=$B7)*('Innmelding'!$D$2:$D$701='Oversikt'!Q$8)*'Innmelding'!$H$2:$H$701)))</f>
        <v/>
      </c>
      <c r="AC7">
        <f>IF(OR($B7="",'Oversikt'!F$8=""),0,SUMPRODUCT(('Innmelding'!$A$2:$A$701='Oversikt'!$C$4)*('Innmelding'!$B$2:$B$701='Oversikt'!$C$5)*('Innmelding'!$C$2:$C$701=$B7)*('Innmelding'!$D$2:$D$701='Oversikt'!F$8)*('Innmelding'!$H$2:$H$701&gt;0)))</f>
        <v/>
      </c>
      <c r="AD7">
        <f>IF(OR($B7="",'Oversikt'!G$8=""),0,SUMPRODUCT(('Innmelding'!$A$2:$A$701='Oversikt'!$C$4)*('Innmelding'!$B$2:$B$701='Oversikt'!$C$5)*('Innmelding'!$C$2:$C$701=$B7)*('Innmelding'!$D$2:$D$701='Oversikt'!G$8)*('Innmelding'!$H$2:$H$701&gt;0)))</f>
        <v/>
      </c>
      <c r="AE7">
        <f>IF(OR($B7="",'Oversikt'!H$8=""),0,SUMPRODUCT(('Innmelding'!$A$2:$A$701='Oversikt'!$C$4)*('Innmelding'!$B$2:$B$701='Oversikt'!$C$5)*('Innmelding'!$C$2:$C$701=$B7)*('Innmelding'!$D$2:$D$701='Oversikt'!H$8)*('Innmelding'!$H$2:$H$701&gt;0)))</f>
        <v/>
      </c>
      <c r="AF7">
        <f>IF(OR($B7="",'Oversikt'!I$8=""),0,SUMPRODUCT(('Innmelding'!$A$2:$A$701='Oversikt'!$C$4)*('Innmelding'!$B$2:$B$701='Oversikt'!$C$5)*('Innmelding'!$C$2:$C$701=$B7)*('Innmelding'!$D$2:$D$701='Oversikt'!I$8)*('Innmelding'!$H$2:$H$701&gt;0)))</f>
        <v/>
      </c>
      <c r="AG7">
        <f>IF(OR($B7="",'Oversikt'!J$8=""),0,SUMPRODUCT(('Innmelding'!$A$2:$A$701='Oversikt'!$C$4)*('Innmelding'!$B$2:$B$701='Oversikt'!$C$5)*('Innmelding'!$C$2:$C$701=$B7)*('Innmelding'!$D$2:$D$701='Oversikt'!J$8)*('Innmelding'!$H$2:$H$701&gt;0)))</f>
        <v/>
      </c>
      <c r="AH7">
        <f>IF(OR($B7="",'Oversikt'!K$8=""),0,SUMPRODUCT(('Innmelding'!$A$2:$A$701='Oversikt'!$C$4)*('Innmelding'!$B$2:$B$701='Oversikt'!$C$5)*('Innmelding'!$C$2:$C$701=$B7)*('Innmelding'!$D$2:$D$701='Oversikt'!K$8)*('Innmelding'!$H$2:$H$701&gt;0)))</f>
        <v/>
      </c>
      <c r="AI7">
        <f>IF(OR($B7="",'Oversikt'!L$8=""),0,SUMPRODUCT(('Innmelding'!$A$2:$A$701='Oversikt'!$C$4)*('Innmelding'!$B$2:$B$701='Oversikt'!$C$5)*('Innmelding'!$C$2:$C$701=$B7)*('Innmelding'!$D$2:$D$701='Oversikt'!L$8)*('Innmelding'!$H$2:$H$701&gt;0)))</f>
        <v/>
      </c>
      <c r="AJ7">
        <f>IF(OR($B7="",'Oversikt'!M$8=""),0,SUMPRODUCT(('Innmelding'!$A$2:$A$701='Oversikt'!$C$4)*('Innmelding'!$B$2:$B$701='Oversikt'!$C$5)*('Innmelding'!$C$2:$C$701=$B7)*('Innmelding'!$D$2:$D$701='Oversikt'!M$8)*('Innmelding'!$H$2:$H$701&gt;0)))</f>
        <v/>
      </c>
      <c r="AK7">
        <f>IF(OR($B7="",'Oversikt'!N$8=""),0,SUMPRODUCT(('Innmelding'!$A$2:$A$701='Oversikt'!$C$4)*('Innmelding'!$B$2:$B$701='Oversikt'!$C$5)*('Innmelding'!$C$2:$C$701=$B7)*('Innmelding'!$D$2:$D$701='Oversikt'!N$8)*('Innmelding'!$H$2:$H$701&gt;0)))</f>
        <v/>
      </c>
      <c r="AL7">
        <f>IF(OR($B7="",'Oversikt'!O$8=""),0,SUMPRODUCT(('Innmelding'!$A$2:$A$701='Oversikt'!$C$4)*('Innmelding'!$B$2:$B$701='Oversikt'!$C$5)*('Innmelding'!$C$2:$C$701=$B7)*('Innmelding'!$D$2:$D$701='Oversikt'!O$8)*('Innmelding'!$H$2:$H$701&gt;0)))</f>
        <v/>
      </c>
      <c r="AM7">
        <f>IF(OR($B7="",'Oversikt'!P$8=""),0,SUMPRODUCT(('Innmelding'!$A$2:$A$701='Oversikt'!$C$4)*('Innmelding'!$B$2:$B$701='Oversikt'!$C$5)*('Innmelding'!$C$2:$C$701=$B7)*('Innmelding'!$D$2:$D$701='Oversikt'!P$8)*('Innmelding'!$H$2:$H$701&gt;0)))</f>
        <v/>
      </c>
      <c r="AN7">
        <f>IF(OR($B7="",'Oversikt'!Q$8=""),0,SUMPRODUCT(('Innmelding'!$A$2:$A$701='Oversikt'!$C$4)*('Innmelding'!$B$2:$B$701='Oversikt'!$C$5)*('Innmelding'!$C$2:$C$701=$B7)*('Innmelding'!$D$2:$D$701='Oversikt'!Q$8)*('Innmelding'!$H$2:$H$701&gt;0)))</f>
        <v/>
      </c>
    </row>
    <row r="8">
      <c r="A8" t="n">
        <v>7</v>
      </c>
      <c r="B8">
        <f>IFERROR(INDEX('Elevar'!$A$2:$AZ$41,$A8,MATCH('Oversikt'!$C$5,'Elevar'!$A$1:$AZ$1,0))&amp;"","")</f>
        <v/>
      </c>
      <c r="C8">
        <f>IF($B8="",-1-$A8/1000,COUNTIF($E8:$P8,3)*10000+COUNTIF($E8:$P8,2)*100+COUNTIF($E8:$P8,1)+(100-$A8)/1000)</f>
        <v/>
      </c>
      <c r="D8">
        <f>MATCH(LARGE($C$2:$C$41,$A8),$C$2:$C$41,0)</f>
        <v/>
      </c>
      <c r="E8">
        <f>IF(OR($B8="",'Oversikt'!F$8=""),0,SUMPRODUCT(MAX(('Innmelding'!$A$2:$A$701='Oversikt'!$C$4)*('Innmelding'!$B$2:$B$701='Oversikt'!$C$5)*('Innmelding'!$C$2:$C$701=$B8)*('Innmelding'!$D$2:$D$701='Oversikt'!F$8)*'Innmelding'!$H$2:$H$701)))</f>
        <v/>
      </c>
      <c r="F8">
        <f>IF(OR($B8="",'Oversikt'!G$8=""),0,SUMPRODUCT(MAX(('Innmelding'!$A$2:$A$701='Oversikt'!$C$4)*('Innmelding'!$B$2:$B$701='Oversikt'!$C$5)*('Innmelding'!$C$2:$C$701=$B8)*('Innmelding'!$D$2:$D$701='Oversikt'!G$8)*'Innmelding'!$H$2:$H$701)))</f>
        <v/>
      </c>
      <c r="G8">
        <f>IF(OR($B8="",'Oversikt'!H$8=""),0,SUMPRODUCT(MAX(('Innmelding'!$A$2:$A$701='Oversikt'!$C$4)*('Innmelding'!$B$2:$B$701='Oversikt'!$C$5)*('Innmelding'!$C$2:$C$701=$B8)*('Innmelding'!$D$2:$D$701='Oversikt'!H$8)*'Innmelding'!$H$2:$H$701)))</f>
        <v/>
      </c>
      <c r="H8">
        <f>IF(OR($B8="",'Oversikt'!I$8=""),0,SUMPRODUCT(MAX(('Innmelding'!$A$2:$A$701='Oversikt'!$C$4)*('Innmelding'!$B$2:$B$701='Oversikt'!$C$5)*('Innmelding'!$C$2:$C$701=$B8)*('Innmelding'!$D$2:$D$701='Oversikt'!I$8)*'Innmelding'!$H$2:$H$701)))</f>
        <v/>
      </c>
      <c r="I8">
        <f>IF(OR($B8="",'Oversikt'!J$8=""),0,SUMPRODUCT(MAX(('Innmelding'!$A$2:$A$701='Oversikt'!$C$4)*('Innmelding'!$B$2:$B$701='Oversikt'!$C$5)*('Innmelding'!$C$2:$C$701=$B8)*('Innmelding'!$D$2:$D$701='Oversikt'!J$8)*'Innmelding'!$H$2:$H$701)))</f>
        <v/>
      </c>
      <c r="J8">
        <f>IF(OR($B8="",'Oversikt'!K$8=""),0,SUMPRODUCT(MAX(('Innmelding'!$A$2:$A$701='Oversikt'!$C$4)*('Innmelding'!$B$2:$B$701='Oversikt'!$C$5)*('Innmelding'!$C$2:$C$701=$B8)*('Innmelding'!$D$2:$D$701='Oversikt'!K$8)*'Innmelding'!$H$2:$H$701)))</f>
        <v/>
      </c>
      <c r="K8">
        <f>IF(OR($B8="",'Oversikt'!L$8=""),0,SUMPRODUCT(MAX(('Innmelding'!$A$2:$A$701='Oversikt'!$C$4)*('Innmelding'!$B$2:$B$701='Oversikt'!$C$5)*('Innmelding'!$C$2:$C$701=$B8)*('Innmelding'!$D$2:$D$701='Oversikt'!L$8)*'Innmelding'!$H$2:$H$701)))</f>
        <v/>
      </c>
      <c r="L8">
        <f>IF(OR($B8="",'Oversikt'!M$8=""),0,SUMPRODUCT(MAX(('Innmelding'!$A$2:$A$701='Oversikt'!$C$4)*('Innmelding'!$B$2:$B$701='Oversikt'!$C$5)*('Innmelding'!$C$2:$C$701=$B8)*('Innmelding'!$D$2:$D$701='Oversikt'!M$8)*'Innmelding'!$H$2:$H$701)))</f>
        <v/>
      </c>
      <c r="M8">
        <f>IF(OR($B8="",'Oversikt'!N$8=""),0,SUMPRODUCT(MAX(('Innmelding'!$A$2:$A$701='Oversikt'!$C$4)*('Innmelding'!$B$2:$B$701='Oversikt'!$C$5)*('Innmelding'!$C$2:$C$701=$B8)*('Innmelding'!$D$2:$D$701='Oversikt'!N$8)*'Innmelding'!$H$2:$H$701)))</f>
        <v/>
      </c>
      <c r="N8">
        <f>IF(OR($B8="",'Oversikt'!O$8=""),0,SUMPRODUCT(MAX(('Innmelding'!$A$2:$A$701='Oversikt'!$C$4)*('Innmelding'!$B$2:$B$701='Oversikt'!$C$5)*('Innmelding'!$C$2:$C$701=$B8)*('Innmelding'!$D$2:$D$701='Oversikt'!O$8)*'Innmelding'!$H$2:$H$701)))</f>
        <v/>
      </c>
      <c r="O8">
        <f>IF(OR($B8="",'Oversikt'!P$8=""),0,SUMPRODUCT(MAX(('Innmelding'!$A$2:$A$701='Oversikt'!$C$4)*('Innmelding'!$B$2:$B$701='Oversikt'!$C$5)*('Innmelding'!$C$2:$C$701=$B8)*('Innmelding'!$D$2:$D$701='Oversikt'!P$8)*'Innmelding'!$H$2:$H$701)))</f>
        <v/>
      </c>
      <c r="P8">
        <f>IF(OR($B8="",'Oversikt'!Q$8=""),0,SUMPRODUCT(MAX(('Innmelding'!$A$2:$A$701='Oversikt'!$C$4)*('Innmelding'!$B$2:$B$701='Oversikt'!$C$5)*('Innmelding'!$C$2:$C$701=$B8)*('Innmelding'!$D$2:$D$701='Oversikt'!Q$8)*'Innmelding'!$H$2:$H$701)))</f>
        <v/>
      </c>
      <c r="Q8">
        <f>IF(OR($B8="",'Oversikt'!F$8="",'Oversikt'!$C$6=""),0,SUMPRODUCT(MAX(('Innmelding'!$A$2:$A$701='Oversikt'!$C$6)*('Innmelding'!$B$2:$B$701='Oversikt'!$C$5)*('Innmelding'!$C$2:$C$701=$B8)*('Innmelding'!$D$2:$D$701='Oversikt'!F$8)*'Innmelding'!$H$2:$H$701)))</f>
        <v/>
      </c>
      <c r="R8">
        <f>IF(OR($B8="",'Oversikt'!G$8="",'Oversikt'!$C$6=""),0,SUMPRODUCT(MAX(('Innmelding'!$A$2:$A$701='Oversikt'!$C$6)*('Innmelding'!$B$2:$B$701='Oversikt'!$C$5)*('Innmelding'!$C$2:$C$701=$B8)*('Innmelding'!$D$2:$D$701='Oversikt'!G$8)*'Innmelding'!$H$2:$H$701)))</f>
        <v/>
      </c>
      <c r="S8">
        <f>IF(OR($B8="",'Oversikt'!H$8="",'Oversikt'!$C$6=""),0,SUMPRODUCT(MAX(('Innmelding'!$A$2:$A$701='Oversikt'!$C$6)*('Innmelding'!$B$2:$B$701='Oversikt'!$C$5)*('Innmelding'!$C$2:$C$701=$B8)*('Innmelding'!$D$2:$D$701='Oversikt'!H$8)*'Innmelding'!$H$2:$H$701)))</f>
        <v/>
      </c>
      <c r="T8">
        <f>IF(OR($B8="",'Oversikt'!I$8="",'Oversikt'!$C$6=""),0,SUMPRODUCT(MAX(('Innmelding'!$A$2:$A$701='Oversikt'!$C$6)*('Innmelding'!$B$2:$B$701='Oversikt'!$C$5)*('Innmelding'!$C$2:$C$701=$B8)*('Innmelding'!$D$2:$D$701='Oversikt'!I$8)*'Innmelding'!$H$2:$H$701)))</f>
        <v/>
      </c>
      <c r="U8">
        <f>IF(OR($B8="",'Oversikt'!J$8="",'Oversikt'!$C$6=""),0,SUMPRODUCT(MAX(('Innmelding'!$A$2:$A$701='Oversikt'!$C$6)*('Innmelding'!$B$2:$B$701='Oversikt'!$C$5)*('Innmelding'!$C$2:$C$701=$B8)*('Innmelding'!$D$2:$D$701='Oversikt'!J$8)*'Innmelding'!$H$2:$H$701)))</f>
        <v/>
      </c>
      <c r="V8">
        <f>IF(OR($B8="",'Oversikt'!K$8="",'Oversikt'!$C$6=""),0,SUMPRODUCT(MAX(('Innmelding'!$A$2:$A$701='Oversikt'!$C$6)*('Innmelding'!$B$2:$B$701='Oversikt'!$C$5)*('Innmelding'!$C$2:$C$701=$B8)*('Innmelding'!$D$2:$D$701='Oversikt'!K$8)*'Innmelding'!$H$2:$H$701)))</f>
        <v/>
      </c>
      <c r="W8">
        <f>IF(OR($B8="",'Oversikt'!L$8="",'Oversikt'!$C$6=""),0,SUMPRODUCT(MAX(('Innmelding'!$A$2:$A$701='Oversikt'!$C$6)*('Innmelding'!$B$2:$B$701='Oversikt'!$C$5)*('Innmelding'!$C$2:$C$701=$B8)*('Innmelding'!$D$2:$D$701='Oversikt'!L$8)*'Innmelding'!$H$2:$H$701)))</f>
        <v/>
      </c>
      <c r="X8">
        <f>IF(OR($B8="",'Oversikt'!M$8="",'Oversikt'!$C$6=""),0,SUMPRODUCT(MAX(('Innmelding'!$A$2:$A$701='Oversikt'!$C$6)*('Innmelding'!$B$2:$B$701='Oversikt'!$C$5)*('Innmelding'!$C$2:$C$701=$B8)*('Innmelding'!$D$2:$D$701='Oversikt'!M$8)*'Innmelding'!$H$2:$H$701)))</f>
        <v/>
      </c>
      <c r="Y8">
        <f>IF(OR($B8="",'Oversikt'!N$8="",'Oversikt'!$C$6=""),0,SUMPRODUCT(MAX(('Innmelding'!$A$2:$A$701='Oversikt'!$C$6)*('Innmelding'!$B$2:$B$701='Oversikt'!$C$5)*('Innmelding'!$C$2:$C$701=$B8)*('Innmelding'!$D$2:$D$701='Oversikt'!N$8)*'Innmelding'!$H$2:$H$701)))</f>
        <v/>
      </c>
      <c r="Z8">
        <f>IF(OR($B8="",'Oversikt'!O$8="",'Oversikt'!$C$6=""),0,SUMPRODUCT(MAX(('Innmelding'!$A$2:$A$701='Oversikt'!$C$6)*('Innmelding'!$B$2:$B$701='Oversikt'!$C$5)*('Innmelding'!$C$2:$C$701=$B8)*('Innmelding'!$D$2:$D$701='Oversikt'!O$8)*'Innmelding'!$H$2:$H$701)))</f>
        <v/>
      </c>
      <c r="AA8">
        <f>IF(OR($B8="",'Oversikt'!P$8="",'Oversikt'!$C$6=""),0,SUMPRODUCT(MAX(('Innmelding'!$A$2:$A$701='Oversikt'!$C$6)*('Innmelding'!$B$2:$B$701='Oversikt'!$C$5)*('Innmelding'!$C$2:$C$701=$B8)*('Innmelding'!$D$2:$D$701='Oversikt'!P$8)*'Innmelding'!$H$2:$H$701)))</f>
        <v/>
      </c>
      <c r="AB8">
        <f>IF(OR($B8="",'Oversikt'!Q$8="",'Oversikt'!$C$6=""),0,SUMPRODUCT(MAX(('Innmelding'!$A$2:$A$701='Oversikt'!$C$6)*('Innmelding'!$B$2:$B$701='Oversikt'!$C$5)*('Innmelding'!$C$2:$C$701=$B8)*('Innmelding'!$D$2:$D$701='Oversikt'!Q$8)*'Innmelding'!$H$2:$H$701)))</f>
        <v/>
      </c>
      <c r="AC8">
        <f>IF(OR($B8="",'Oversikt'!F$8=""),0,SUMPRODUCT(('Innmelding'!$A$2:$A$701='Oversikt'!$C$4)*('Innmelding'!$B$2:$B$701='Oversikt'!$C$5)*('Innmelding'!$C$2:$C$701=$B8)*('Innmelding'!$D$2:$D$701='Oversikt'!F$8)*('Innmelding'!$H$2:$H$701&gt;0)))</f>
        <v/>
      </c>
      <c r="AD8">
        <f>IF(OR($B8="",'Oversikt'!G$8=""),0,SUMPRODUCT(('Innmelding'!$A$2:$A$701='Oversikt'!$C$4)*('Innmelding'!$B$2:$B$701='Oversikt'!$C$5)*('Innmelding'!$C$2:$C$701=$B8)*('Innmelding'!$D$2:$D$701='Oversikt'!G$8)*('Innmelding'!$H$2:$H$701&gt;0)))</f>
        <v/>
      </c>
      <c r="AE8">
        <f>IF(OR($B8="",'Oversikt'!H$8=""),0,SUMPRODUCT(('Innmelding'!$A$2:$A$701='Oversikt'!$C$4)*('Innmelding'!$B$2:$B$701='Oversikt'!$C$5)*('Innmelding'!$C$2:$C$701=$B8)*('Innmelding'!$D$2:$D$701='Oversikt'!H$8)*('Innmelding'!$H$2:$H$701&gt;0)))</f>
        <v/>
      </c>
      <c r="AF8">
        <f>IF(OR($B8="",'Oversikt'!I$8=""),0,SUMPRODUCT(('Innmelding'!$A$2:$A$701='Oversikt'!$C$4)*('Innmelding'!$B$2:$B$701='Oversikt'!$C$5)*('Innmelding'!$C$2:$C$701=$B8)*('Innmelding'!$D$2:$D$701='Oversikt'!I$8)*('Innmelding'!$H$2:$H$701&gt;0)))</f>
        <v/>
      </c>
      <c r="AG8">
        <f>IF(OR($B8="",'Oversikt'!J$8=""),0,SUMPRODUCT(('Innmelding'!$A$2:$A$701='Oversikt'!$C$4)*('Innmelding'!$B$2:$B$701='Oversikt'!$C$5)*('Innmelding'!$C$2:$C$701=$B8)*('Innmelding'!$D$2:$D$701='Oversikt'!J$8)*('Innmelding'!$H$2:$H$701&gt;0)))</f>
        <v/>
      </c>
      <c r="AH8">
        <f>IF(OR($B8="",'Oversikt'!K$8=""),0,SUMPRODUCT(('Innmelding'!$A$2:$A$701='Oversikt'!$C$4)*('Innmelding'!$B$2:$B$701='Oversikt'!$C$5)*('Innmelding'!$C$2:$C$701=$B8)*('Innmelding'!$D$2:$D$701='Oversikt'!K$8)*('Innmelding'!$H$2:$H$701&gt;0)))</f>
        <v/>
      </c>
      <c r="AI8">
        <f>IF(OR($B8="",'Oversikt'!L$8=""),0,SUMPRODUCT(('Innmelding'!$A$2:$A$701='Oversikt'!$C$4)*('Innmelding'!$B$2:$B$701='Oversikt'!$C$5)*('Innmelding'!$C$2:$C$701=$B8)*('Innmelding'!$D$2:$D$701='Oversikt'!L$8)*('Innmelding'!$H$2:$H$701&gt;0)))</f>
        <v/>
      </c>
      <c r="AJ8">
        <f>IF(OR($B8="",'Oversikt'!M$8=""),0,SUMPRODUCT(('Innmelding'!$A$2:$A$701='Oversikt'!$C$4)*('Innmelding'!$B$2:$B$701='Oversikt'!$C$5)*('Innmelding'!$C$2:$C$701=$B8)*('Innmelding'!$D$2:$D$701='Oversikt'!M$8)*('Innmelding'!$H$2:$H$701&gt;0)))</f>
        <v/>
      </c>
      <c r="AK8">
        <f>IF(OR($B8="",'Oversikt'!N$8=""),0,SUMPRODUCT(('Innmelding'!$A$2:$A$701='Oversikt'!$C$4)*('Innmelding'!$B$2:$B$701='Oversikt'!$C$5)*('Innmelding'!$C$2:$C$701=$B8)*('Innmelding'!$D$2:$D$701='Oversikt'!N$8)*('Innmelding'!$H$2:$H$701&gt;0)))</f>
        <v/>
      </c>
      <c r="AL8">
        <f>IF(OR($B8="",'Oversikt'!O$8=""),0,SUMPRODUCT(('Innmelding'!$A$2:$A$701='Oversikt'!$C$4)*('Innmelding'!$B$2:$B$701='Oversikt'!$C$5)*('Innmelding'!$C$2:$C$701=$B8)*('Innmelding'!$D$2:$D$701='Oversikt'!O$8)*('Innmelding'!$H$2:$H$701&gt;0)))</f>
        <v/>
      </c>
      <c r="AM8">
        <f>IF(OR($B8="",'Oversikt'!P$8=""),0,SUMPRODUCT(('Innmelding'!$A$2:$A$701='Oversikt'!$C$4)*('Innmelding'!$B$2:$B$701='Oversikt'!$C$5)*('Innmelding'!$C$2:$C$701=$B8)*('Innmelding'!$D$2:$D$701='Oversikt'!P$8)*('Innmelding'!$H$2:$H$701&gt;0)))</f>
        <v/>
      </c>
      <c r="AN8">
        <f>IF(OR($B8="",'Oversikt'!Q$8=""),0,SUMPRODUCT(('Innmelding'!$A$2:$A$701='Oversikt'!$C$4)*('Innmelding'!$B$2:$B$701='Oversikt'!$C$5)*('Innmelding'!$C$2:$C$701=$B8)*('Innmelding'!$D$2:$D$701='Oversikt'!Q$8)*('Innmelding'!$H$2:$H$701&gt;0)))</f>
        <v/>
      </c>
    </row>
    <row r="9">
      <c r="A9" t="n">
        <v>8</v>
      </c>
      <c r="B9">
        <f>IFERROR(INDEX('Elevar'!$A$2:$AZ$41,$A9,MATCH('Oversikt'!$C$5,'Elevar'!$A$1:$AZ$1,0))&amp;"","")</f>
        <v/>
      </c>
      <c r="C9">
        <f>IF($B9="",-1-$A9/1000,COUNTIF($E9:$P9,3)*10000+COUNTIF($E9:$P9,2)*100+COUNTIF($E9:$P9,1)+(100-$A9)/1000)</f>
        <v/>
      </c>
      <c r="D9">
        <f>MATCH(LARGE($C$2:$C$41,$A9),$C$2:$C$41,0)</f>
        <v/>
      </c>
      <c r="E9">
        <f>IF(OR($B9="",'Oversikt'!F$8=""),0,SUMPRODUCT(MAX(('Innmelding'!$A$2:$A$701='Oversikt'!$C$4)*('Innmelding'!$B$2:$B$701='Oversikt'!$C$5)*('Innmelding'!$C$2:$C$701=$B9)*('Innmelding'!$D$2:$D$701='Oversikt'!F$8)*'Innmelding'!$H$2:$H$701)))</f>
        <v/>
      </c>
      <c r="F9">
        <f>IF(OR($B9="",'Oversikt'!G$8=""),0,SUMPRODUCT(MAX(('Innmelding'!$A$2:$A$701='Oversikt'!$C$4)*('Innmelding'!$B$2:$B$701='Oversikt'!$C$5)*('Innmelding'!$C$2:$C$701=$B9)*('Innmelding'!$D$2:$D$701='Oversikt'!G$8)*'Innmelding'!$H$2:$H$701)))</f>
        <v/>
      </c>
      <c r="G9">
        <f>IF(OR($B9="",'Oversikt'!H$8=""),0,SUMPRODUCT(MAX(('Innmelding'!$A$2:$A$701='Oversikt'!$C$4)*('Innmelding'!$B$2:$B$701='Oversikt'!$C$5)*('Innmelding'!$C$2:$C$701=$B9)*('Innmelding'!$D$2:$D$701='Oversikt'!H$8)*'Innmelding'!$H$2:$H$701)))</f>
        <v/>
      </c>
      <c r="H9">
        <f>IF(OR($B9="",'Oversikt'!I$8=""),0,SUMPRODUCT(MAX(('Innmelding'!$A$2:$A$701='Oversikt'!$C$4)*('Innmelding'!$B$2:$B$701='Oversikt'!$C$5)*('Innmelding'!$C$2:$C$701=$B9)*('Innmelding'!$D$2:$D$701='Oversikt'!I$8)*'Innmelding'!$H$2:$H$701)))</f>
        <v/>
      </c>
      <c r="I9">
        <f>IF(OR($B9="",'Oversikt'!J$8=""),0,SUMPRODUCT(MAX(('Innmelding'!$A$2:$A$701='Oversikt'!$C$4)*('Innmelding'!$B$2:$B$701='Oversikt'!$C$5)*('Innmelding'!$C$2:$C$701=$B9)*('Innmelding'!$D$2:$D$701='Oversikt'!J$8)*'Innmelding'!$H$2:$H$701)))</f>
        <v/>
      </c>
      <c r="J9">
        <f>IF(OR($B9="",'Oversikt'!K$8=""),0,SUMPRODUCT(MAX(('Innmelding'!$A$2:$A$701='Oversikt'!$C$4)*('Innmelding'!$B$2:$B$701='Oversikt'!$C$5)*('Innmelding'!$C$2:$C$701=$B9)*('Innmelding'!$D$2:$D$701='Oversikt'!K$8)*'Innmelding'!$H$2:$H$701)))</f>
        <v/>
      </c>
      <c r="K9">
        <f>IF(OR($B9="",'Oversikt'!L$8=""),0,SUMPRODUCT(MAX(('Innmelding'!$A$2:$A$701='Oversikt'!$C$4)*('Innmelding'!$B$2:$B$701='Oversikt'!$C$5)*('Innmelding'!$C$2:$C$701=$B9)*('Innmelding'!$D$2:$D$701='Oversikt'!L$8)*'Innmelding'!$H$2:$H$701)))</f>
        <v/>
      </c>
      <c r="L9">
        <f>IF(OR($B9="",'Oversikt'!M$8=""),0,SUMPRODUCT(MAX(('Innmelding'!$A$2:$A$701='Oversikt'!$C$4)*('Innmelding'!$B$2:$B$701='Oversikt'!$C$5)*('Innmelding'!$C$2:$C$701=$B9)*('Innmelding'!$D$2:$D$701='Oversikt'!M$8)*'Innmelding'!$H$2:$H$701)))</f>
        <v/>
      </c>
      <c r="M9">
        <f>IF(OR($B9="",'Oversikt'!N$8=""),0,SUMPRODUCT(MAX(('Innmelding'!$A$2:$A$701='Oversikt'!$C$4)*('Innmelding'!$B$2:$B$701='Oversikt'!$C$5)*('Innmelding'!$C$2:$C$701=$B9)*('Innmelding'!$D$2:$D$701='Oversikt'!N$8)*'Innmelding'!$H$2:$H$701)))</f>
        <v/>
      </c>
      <c r="N9">
        <f>IF(OR($B9="",'Oversikt'!O$8=""),0,SUMPRODUCT(MAX(('Innmelding'!$A$2:$A$701='Oversikt'!$C$4)*('Innmelding'!$B$2:$B$701='Oversikt'!$C$5)*('Innmelding'!$C$2:$C$701=$B9)*('Innmelding'!$D$2:$D$701='Oversikt'!O$8)*'Innmelding'!$H$2:$H$701)))</f>
        <v/>
      </c>
      <c r="O9">
        <f>IF(OR($B9="",'Oversikt'!P$8=""),0,SUMPRODUCT(MAX(('Innmelding'!$A$2:$A$701='Oversikt'!$C$4)*('Innmelding'!$B$2:$B$701='Oversikt'!$C$5)*('Innmelding'!$C$2:$C$701=$B9)*('Innmelding'!$D$2:$D$701='Oversikt'!P$8)*'Innmelding'!$H$2:$H$701)))</f>
        <v/>
      </c>
      <c r="P9">
        <f>IF(OR($B9="",'Oversikt'!Q$8=""),0,SUMPRODUCT(MAX(('Innmelding'!$A$2:$A$701='Oversikt'!$C$4)*('Innmelding'!$B$2:$B$701='Oversikt'!$C$5)*('Innmelding'!$C$2:$C$701=$B9)*('Innmelding'!$D$2:$D$701='Oversikt'!Q$8)*'Innmelding'!$H$2:$H$701)))</f>
        <v/>
      </c>
      <c r="Q9">
        <f>IF(OR($B9="",'Oversikt'!F$8="",'Oversikt'!$C$6=""),0,SUMPRODUCT(MAX(('Innmelding'!$A$2:$A$701='Oversikt'!$C$6)*('Innmelding'!$B$2:$B$701='Oversikt'!$C$5)*('Innmelding'!$C$2:$C$701=$B9)*('Innmelding'!$D$2:$D$701='Oversikt'!F$8)*'Innmelding'!$H$2:$H$701)))</f>
        <v/>
      </c>
      <c r="R9">
        <f>IF(OR($B9="",'Oversikt'!G$8="",'Oversikt'!$C$6=""),0,SUMPRODUCT(MAX(('Innmelding'!$A$2:$A$701='Oversikt'!$C$6)*('Innmelding'!$B$2:$B$701='Oversikt'!$C$5)*('Innmelding'!$C$2:$C$701=$B9)*('Innmelding'!$D$2:$D$701='Oversikt'!G$8)*'Innmelding'!$H$2:$H$701)))</f>
        <v/>
      </c>
      <c r="S9">
        <f>IF(OR($B9="",'Oversikt'!H$8="",'Oversikt'!$C$6=""),0,SUMPRODUCT(MAX(('Innmelding'!$A$2:$A$701='Oversikt'!$C$6)*('Innmelding'!$B$2:$B$701='Oversikt'!$C$5)*('Innmelding'!$C$2:$C$701=$B9)*('Innmelding'!$D$2:$D$701='Oversikt'!H$8)*'Innmelding'!$H$2:$H$701)))</f>
        <v/>
      </c>
      <c r="T9">
        <f>IF(OR($B9="",'Oversikt'!I$8="",'Oversikt'!$C$6=""),0,SUMPRODUCT(MAX(('Innmelding'!$A$2:$A$701='Oversikt'!$C$6)*('Innmelding'!$B$2:$B$701='Oversikt'!$C$5)*('Innmelding'!$C$2:$C$701=$B9)*('Innmelding'!$D$2:$D$701='Oversikt'!I$8)*'Innmelding'!$H$2:$H$701)))</f>
        <v/>
      </c>
      <c r="U9">
        <f>IF(OR($B9="",'Oversikt'!J$8="",'Oversikt'!$C$6=""),0,SUMPRODUCT(MAX(('Innmelding'!$A$2:$A$701='Oversikt'!$C$6)*('Innmelding'!$B$2:$B$701='Oversikt'!$C$5)*('Innmelding'!$C$2:$C$701=$B9)*('Innmelding'!$D$2:$D$701='Oversikt'!J$8)*'Innmelding'!$H$2:$H$701)))</f>
        <v/>
      </c>
      <c r="V9">
        <f>IF(OR($B9="",'Oversikt'!K$8="",'Oversikt'!$C$6=""),0,SUMPRODUCT(MAX(('Innmelding'!$A$2:$A$701='Oversikt'!$C$6)*('Innmelding'!$B$2:$B$701='Oversikt'!$C$5)*('Innmelding'!$C$2:$C$701=$B9)*('Innmelding'!$D$2:$D$701='Oversikt'!K$8)*'Innmelding'!$H$2:$H$701)))</f>
        <v/>
      </c>
      <c r="W9">
        <f>IF(OR($B9="",'Oversikt'!L$8="",'Oversikt'!$C$6=""),0,SUMPRODUCT(MAX(('Innmelding'!$A$2:$A$701='Oversikt'!$C$6)*('Innmelding'!$B$2:$B$701='Oversikt'!$C$5)*('Innmelding'!$C$2:$C$701=$B9)*('Innmelding'!$D$2:$D$701='Oversikt'!L$8)*'Innmelding'!$H$2:$H$701)))</f>
        <v/>
      </c>
      <c r="X9">
        <f>IF(OR($B9="",'Oversikt'!M$8="",'Oversikt'!$C$6=""),0,SUMPRODUCT(MAX(('Innmelding'!$A$2:$A$701='Oversikt'!$C$6)*('Innmelding'!$B$2:$B$701='Oversikt'!$C$5)*('Innmelding'!$C$2:$C$701=$B9)*('Innmelding'!$D$2:$D$701='Oversikt'!M$8)*'Innmelding'!$H$2:$H$701)))</f>
        <v/>
      </c>
      <c r="Y9">
        <f>IF(OR($B9="",'Oversikt'!N$8="",'Oversikt'!$C$6=""),0,SUMPRODUCT(MAX(('Innmelding'!$A$2:$A$701='Oversikt'!$C$6)*('Innmelding'!$B$2:$B$701='Oversikt'!$C$5)*('Innmelding'!$C$2:$C$701=$B9)*('Innmelding'!$D$2:$D$701='Oversikt'!N$8)*'Innmelding'!$H$2:$H$701)))</f>
        <v/>
      </c>
      <c r="Z9">
        <f>IF(OR($B9="",'Oversikt'!O$8="",'Oversikt'!$C$6=""),0,SUMPRODUCT(MAX(('Innmelding'!$A$2:$A$701='Oversikt'!$C$6)*('Innmelding'!$B$2:$B$701='Oversikt'!$C$5)*('Innmelding'!$C$2:$C$701=$B9)*('Innmelding'!$D$2:$D$701='Oversikt'!O$8)*'Innmelding'!$H$2:$H$701)))</f>
        <v/>
      </c>
      <c r="AA9">
        <f>IF(OR($B9="",'Oversikt'!P$8="",'Oversikt'!$C$6=""),0,SUMPRODUCT(MAX(('Innmelding'!$A$2:$A$701='Oversikt'!$C$6)*('Innmelding'!$B$2:$B$701='Oversikt'!$C$5)*('Innmelding'!$C$2:$C$701=$B9)*('Innmelding'!$D$2:$D$701='Oversikt'!P$8)*'Innmelding'!$H$2:$H$701)))</f>
        <v/>
      </c>
      <c r="AB9">
        <f>IF(OR($B9="",'Oversikt'!Q$8="",'Oversikt'!$C$6=""),0,SUMPRODUCT(MAX(('Innmelding'!$A$2:$A$701='Oversikt'!$C$6)*('Innmelding'!$B$2:$B$701='Oversikt'!$C$5)*('Innmelding'!$C$2:$C$701=$B9)*('Innmelding'!$D$2:$D$701='Oversikt'!Q$8)*'Innmelding'!$H$2:$H$701)))</f>
        <v/>
      </c>
      <c r="AC9">
        <f>IF(OR($B9="",'Oversikt'!F$8=""),0,SUMPRODUCT(('Innmelding'!$A$2:$A$701='Oversikt'!$C$4)*('Innmelding'!$B$2:$B$701='Oversikt'!$C$5)*('Innmelding'!$C$2:$C$701=$B9)*('Innmelding'!$D$2:$D$701='Oversikt'!F$8)*('Innmelding'!$H$2:$H$701&gt;0)))</f>
        <v/>
      </c>
      <c r="AD9">
        <f>IF(OR($B9="",'Oversikt'!G$8=""),0,SUMPRODUCT(('Innmelding'!$A$2:$A$701='Oversikt'!$C$4)*('Innmelding'!$B$2:$B$701='Oversikt'!$C$5)*('Innmelding'!$C$2:$C$701=$B9)*('Innmelding'!$D$2:$D$701='Oversikt'!G$8)*('Innmelding'!$H$2:$H$701&gt;0)))</f>
        <v/>
      </c>
      <c r="AE9">
        <f>IF(OR($B9="",'Oversikt'!H$8=""),0,SUMPRODUCT(('Innmelding'!$A$2:$A$701='Oversikt'!$C$4)*('Innmelding'!$B$2:$B$701='Oversikt'!$C$5)*('Innmelding'!$C$2:$C$701=$B9)*('Innmelding'!$D$2:$D$701='Oversikt'!H$8)*('Innmelding'!$H$2:$H$701&gt;0)))</f>
        <v/>
      </c>
      <c r="AF9">
        <f>IF(OR($B9="",'Oversikt'!I$8=""),0,SUMPRODUCT(('Innmelding'!$A$2:$A$701='Oversikt'!$C$4)*('Innmelding'!$B$2:$B$701='Oversikt'!$C$5)*('Innmelding'!$C$2:$C$701=$B9)*('Innmelding'!$D$2:$D$701='Oversikt'!I$8)*('Innmelding'!$H$2:$H$701&gt;0)))</f>
        <v/>
      </c>
      <c r="AG9">
        <f>IF(OR($B9="",'Oversikt'!J$8=""),0,SUMPRODUCT(('Innmelding'!$A$2:$A$701='Oversikt'!$C$4)*('Innmelding'!$B$2:$B$701='Oversikt'!$C$5)*('Innmelding'!$C$2:$C$701=$B9)*('Innmelding'!$D$2:$D$701='Oversikt'!J$8)*('Innmelding'!$H$2:$H$701&gt;0)))</f>
        <v/>
      </c>
      <c r="AH9">
        <f>IF(OR($B9="",'Oversikt'!K$8=""),0,SUMPRODUCT(('Innmelding'!$A$2:$A$701='Oversikt'!$C$4)*('Innmelding'!$B$2:$B$701='Oversikt'!$C$5)*('Innmelding'!$C$2:$C$701=$B9)*('Innmelding'!$D$2:$D$701='Oversikt'!K$8)*('Innmelding'!$H$2:$H$701&gt;0)))</f>
        <v/>
      </c>
      <c r="AI9">
        <f>IF(OR($B9="",'Oversikt'!L$8=""),0,SUMPRODUCT(('Innmelding'!$A$2:$A$701='Oversikt'!$C$4)*('Innmelding'!$B$2:$B$701='Oversikt'!$C$5)*('Innmelding'!$C$2:$C$701=$B9)*('Innmelding'!$D$2:$D$701='Oversikt'!L$8)*('Innmelding'!$H$2:$H$701&gt;0)))</f>
        <v/>
      </c>
      <c r="AJ9">
        <f>IF(OR($B9="",'Oversikt'!M$8=""),0,SUMPRODUCT(('Innmelding'!$A$2:$A$701='Oversikt'!$C$4)*('Innmelding'!$B$2:$B$701='Oversikt'!$C$5)*('Innmelding'!$C$2:$C$701=$B9)*('Innmelding'!$D$2:$D$701='Oversikt'!M$8)*('Innmelding'!$H$2:$H$701&gt;0)))</f>
        <v/>
      </c>
      <c r="AK9">
        <f>IF(OR($B9="",'Oversikt'!N$8=""),0,SUMPRODUCT(('Innmelding'!$A$2:$A$701='Oversikt'!$C$4)*('Innmelding'!$B$2:$B$701='Oversikt'!$C$5)*('Innmelding'!$C$2:$C$701=$B9)*('Innmelding'!$D$2:$D$701='Oversikt'!N$8)*('Innmelding'!$H$2:$H$701&gt;0)))</f>
        <v/>
      </c>
      <c r="AL9">
        <f>IF(OR($B9="",'Oversikt'!O$8=""),0,SUMPRODUCT(('Innmelding'!$A$2:$A$701='Oversikt'!$C$4)*('Innmelding'!$B$2:$B$701='Oversikt'!$C$5)*('Innmelding'!$C$2:$C$701=$B9)*('Innmelding'!$D$2:$D$701='Oversikt'!O$8)*('Innmelding'!$H$2:$H$701&gt;0)))</f>
        <v/>
      </c>
      <c r="AM9">
        <f>IF(OR($B9="",'Oversikt'!P$8=""),0,SUMPRODUCT(('Innmelding'!$A$2:$A$701='Oversikt'!$C$4)*('Innmelding'!$B$2:$B$701='Oversikt'!$C$5)*('Innmelding'!$C$2:$C$701=$B9)*('Innmelding'!$D$2:$D$701='Oversikt'!P$8)*('Innmelding'!$H$2:$H$701&gt;0)))</f>
        <v/>
      </c>
      <c r="AN9">
        <f>IF(OR($B9="",'Oversikt'!Q$8=""),0,SUMPRODUCT(('Innmelding'!$A$2:$A$701='Oversikt'!$C$4)*('Innmelding'!$B$2:$B$701='Oversikt'!$C$5)*('Innmelding'!$C$2:$C$701=$B9)*('Innmelding'!$D$2:$D$701='Oversikt'!Q$8)*('Innmelding'!$H$2:$H$701&gt;0)))</f>
        <v/>
      </c>
    </row>
    <row r="10">
      <c r="A10" t="n">
        <v>9</v>
      </c>
      <c r="B10">
        <f>IFERROR(INDEX('Elevar'!$A$2:$AZ$41,$A10,MATCH('Oversikt'!$C$5,'Elevar'!$A$1:$AZ$1,0))&amp;"","")</f>
        <v/>
      </c>
      <c r="C10">
        <f>IF($B10="",-1-$A10/1000,COUNTIF($E10:$P10,3)*10000+COUNTIF($E10:$P10,2)*100+COUNTIF($E10:$P10,1)+(100-$A10)/1000)</f>
        <v/>
      </c>
      <c r="D10">
        <f>MATCH(LARGE($C$2:$C$41,$A10),$C$2:$C$41,0)</f>
        <v/>
      </c>
      <c r="E10">
        <f>IF(OR($B10="",'Oversikt'!F$8=""),0,SUMPRODUCT(MAX(('Innmelding'!$A$2:$A$701='Oversikt'!$C$4)*('Innmelding'!$B$2:$B$701='Oversikt'!$C$5)*('Innmelding'!$C$2:$C$701=$B10)*('Innmelding'!$D$2:$D$701='Oversikt'!F$8)*'Innmelding'!$H$2:$H$701)))</f>
        <v/>
      </c>
      <c r="F10">
        <f>IF(OR($B10="",'Oversikt'!G$8=""),0,SUMPRODUCT(MAX(('Innmelding'!$A$2:$A$701='Oversikt'!$C$4)*('Innmelding'!$B$2:$B$701='Oversikt'!$C$5)*('Innmelding'!$C$2:$C$701=$B10)*('Innmelding'!$D$2:$D$701='Oversikt'!G$8)*'Innmelding'!$H$2:$H$701)))</f>
        <v/>
      </c>
      <c r="G10">
        <f>IF(OR($B10="",'Oversikt'!H$8=""),0,SUMPRODUCT(MAX(('Innmelding'!$A$2:$A$701='Oversikt'!$C$4)*('Innmelding'!$B$2:$B$701='Oversikt'!$C$5)*('Innmelding'!$C$2:$C$701=$B10)*('Innmelding'!$D$2:$D$701='Oversikt'!H$8)*'Innmelding'!$H$2:$H$701)))</f>
        <v/>
      </c>
      <c r="H10">
        <f>IF(OR($B10="",'Oversikt'!I$8=""),0,SUMPRODUCT(MAX(('Innmelding'!$A$2:$A$701='Oversikt'!$C$4)*('Innmelding'!$B$2:$B$701='Oversikt'!$C$5)*('Innmelding'!$C$2:$C$701=$B10)*('Innmelding'!$D$2:$D$701='Oversikt'!I$8)*'Innmelding'!$H$2:$H$701)))</f>
        <v/>
      </c>
      <c r="I10">
        <f>IF(OR($B10="",'Oversikt'!J$8=""),0,SUMPRODUCT(MAX(('Innmelding'!$A$2:$A$701='Oversikt'!$C$4)*('Innmelding'!$B$2:$B$701='Oversikt'!$C$5)*('Innmelding'!$C$2:$C$701=$B10)*('Innmelding'!$D$2:$D$701='Oversikt'!J$8)*'Innmelding'!$H$2:$H$701)))</f>
        <v/>
      </c>
      <c r="J10">
        <f>IF(OR($B10="",'Oversikt'!K$8=""),0,SUMPRODUCT(MAX(('Innmelding'!$A$2:$A$701='Oversikt'!$C$4)*('Innmelding'!$B$2:$B$701='Oversikt'!$C$5)*('Innmelding'!$C$2:$C$701=$B10)*('Innmelding'!$D$2:$D$701='Oversikt'!K$8)*'Innmelding'!$H$2:$H$701)))</f>
        <v/>
      </c>
      <c r="K10">
        <f>IF(OR($B10="",'Oversikt'!L$8=""),0,SUMPRODUCT(MAX(('Innmelding'!$A$2:$A$701='Oversikt'!$C$4)*('Innmelding'!$B$2:$B$701='Oversikt'!$C$5)*('Innmelding'!$C$2:$C$701=$B10)*('Innmelding'!$D$2:$D$701='Oversikt'!L$8)*'Innmelding'!$H$2:$H$701)))</f>
        <v/>
      </c>
      <c r="L10">
        <f>IF(OR($B10="",'Oversikt'!M$8=""),0,SUMPRODUCT(MAX(('Innmelding'!$A$2:$A$701='Oversikt'!$C$4)*('Innmelding'!$B$2:$B$701='Oversikt'!$C$5)*('Innmelding'!$C$2:$C$701=$B10)*('Innmelding'!$D$2:$D$701='Oversikt'!M$8)*'Innmelding'!$H$2:$H$701)))</f>
        <v/>
      </c>
      <c r="M10">
        <f>IF(OR($B10="",'Oversikt'!N$8=""),0,SUMPRODUCT(MAX(('Innmelding'!$A$2:$A$701='Oversikt'!$C$4)*('Innmelding'!$B$2:$B$701='Oversikt'!$C$5)*('Innmelding'!$C$2:$C$701=$B10)*('Innmelding'!$D$2:$D$701='Oversikt'!N$8)*'Innmelding'!$H$2:$H$701)))</f>
        <v/>
      </c>
      <c r="N10">
        <f>IF(OR($B10="",'Oversikt'!O$8=""),0,SUMPRODUCT(MAX(('Innmelding'!$A$2:$A$701='Oversikt'!$C$4)*('Innmelding'!$B$2:$B$701='Oversikt'!$C$5)*('Innmelding'!$C$2:$C$701=$B10)*('Innmelding'!$D$2:$D$701='Oversikt'!O$8)*'Innmelding'!$H$2:$H$701)))</f>
        <v/>
      </c>
      <c r="O10">
        <f>IF(OR($B10="",'Oversikt'!P$8=""),0,SUMPRODUCT(MAX(('Innmelding'!$A$2:$A$701='Oversikt'!$C$4)*('Innmelding'!$B$2:$B$701='Oversikt'!$C$5)*('Innmelding'!$C$2:$C$701=$B10)*('Innmelding'!$D$2:$D$701='Oversikt'!P$8)*'Innmelding'!$H$2:$H$701)))</f>
        <v/>
      </c>
      <c r="P10">
        <f>IF(OR($B10="",'Oversikt'!Q$8=""),0,SUMPRODUCT(MAX(('Innmelding'!$A$2:$A$701='Oversikt'!$C$4)*('Innmelding'!$B$2:$B$701='Oversikt'!$C$5)*('Innmelding'!$C$2:$C$701=$B10)*('Innmelding'!$D$2:$D$701='Oversikt'!Q$8)*'Innmelding'!$H$2:$H$701)))</f>
        <v/>
      </c>
      <c r="Q10">
        <f>IF(OR($B10="",'Oversikt'!F$8="",'Oversikt'!$C$6=""),0,SUMPRODUCT(MAX(('Innmelding'!$A$2:$A$701='Oversikt'!$C$6)*('Innmelding'!$B$2:$B$701='Oversikt'!$C$5)*('Innmelding'!$C$2:$C$701=$B10)*('Innmelding'!$D$2:$D$701='Oversikt'!F$8)*'Innmelding'!$H$2:$H$701)))</f>
        <v/>
      </c>
      <c r="R10">
        <f>IF(OR($B10="",'Oversikt'!G$8="",'Oversikt'!$C$6=""),0,SUMPRODUCT(MAX(('Innmelding'!$A$2:$A$701='Oversikt'!$C$6)*('Innmelding'!$B$2:$B$701='Oversikt'!$C$5)*('Innmelding'!$C$2:$C$701=$B10)*('Innmelding'!$D$2:$D$701='Oversikt'!G$8)*'Innmelding'!$H$2:$H$701)))</f>
        <v/>
      </c>
      <c r="S10">
        <f>IF(OR($B10="",'Oversikt'!H$8="",'Oversikt'!$C$6=""),0,SUMPRODUCT(MAX(('Innmelding'!$A$2:$A$701='Oversikt'!$C$6)*('Innmelding'!$B$2:$B$701='Oversikt'!$C$5)*('Innmelding'!$C$2:$C$701=$B10)*('Innmelding'!$D$2:$D$701='Oversikt'!H$8)*'Innmelding'!$H$2:$H$701)))</f>
        <v/>
      </c>
      <c r="T10">
        <f>IF(OR($B10="",'Oversikt'!I$8="",'Oversikt'!$C$6=""),0,SUMPRODUCT(MAX(('Innmelding'!$A$2:$A$701='Oversikt'!$C$6)*('Innmelding'!$B$2:$B$701='Oversikt'!$C$5)*('Innmelding'!$C$2:$C$701=$B10)*('Innmelding'!$D$2:$D$701='Oversikt'!I$8)*'Innmelding'!$H$2:$H$701)))</f>
        <v/>
      </c>
      <c r="U10">
        <f>IF(OR($B10="",'Oversikt'!J$8="",'Oversikt'!$C$6=""),0,SUMPRODUCT(MAX(('Innmelding'!$A$2:$A$701='Oversikt'!$C$6)*('Innmelding'!$B$2:$B$701='Oversikt'!$C$5)*('Innmelding'!$C$2:$C$701=$B10)*('Innmelding'!$D$2:$D$701='Oversikt'!J$8)*'Innmelding'!$H$2:$H$701)))</f>
        <v/>
      </c>
      <c r="V10">
        <f>IF(OR($B10="",'Oversikt'!K$8="",'Oversikt'!$C$6=""),0,SUMPRODUCT(MAX(('Innmelding'!$A$2:$A$701='Oversikt'!$C$6)*('Innmelding'!$B$2:$B$701='Oversikt'!$C$5)*('Innmelding'!$C$2:$C$701=$B10)*('Innmelding'!$D$2:$D$701='Oversikt'!K$8)*'Innmelding'!$H$2:$H$701)))</f>
        <v/>
      </c>
      <c r="W10">
        <f>IF(OR($B10="",'Oversikt'!L$8="",'Oversikt'!$C$6=""),0,SUMPRODUCT(MAX(('Innmelding'!$A$2:$A$701='Oversikt'!$C$6)*('Innmelding'!$B$2:$B$701='Oversikt'!$C$5)*('Innmelding'!$C$2:$C$701=$B10)*('Innmelding'!$D$2:$D$701='Oversikt'!L$8)*'Innmelding'!$H$2:$H$701)))</f>
        <v/>
      </c>
      <c r="X10">
        <f>IF(OR($B10="",'Oversikt'!M$8="",'Oversikt'!$C$6=""),0,SUMPRODUCT(MAX(('Innmelding'!$A$2:$A$701='Oversikt'!$C$6)*('Innmelding'!$B$2:$B$701='Oversikt'!$C$5)*('Innmelding'!$C$2:$C$701=$B10)*('Innmelding'!$D$2:$D$701='Oversikt'!M$8)*'Innmelding'!$H$2:$H$701)))</f>
        <v/>
      </c>
      <c r="Y10">
        <f>IF(OR($B10="",'Oversikt'!N$8="",'Oversikt'!$C$6=""),0,SUMPRODUCT(MAX(('Innmelding'!$A$2:$A$701='Oversikt'!$C$6)*('Innmelding'!$B$2:$B$701='Oversikt'!$C$5)*('Innmelding'!$C$2:$C$701=$B10)*('Innmelding'!$D$2:$D$701='Oversikt'!N$8)*'Innmelding'!$H$2:$H$701)))</f>
        <v/>
      </c>
      <c r="Z10">
        <f>IF(OR($B10="",'Oversikt'!O$8="",'Oversikt'!$C$6=""),0,SUMPRODUCT(MAX(('Innmelding'!$A$2:$A$701='Oversikt'!$C$6)*('Innmelding'!$B$2:$B$701='Oversikt'!$C$5)*('Innmelding'!$C$2:$C$701=$B10)*('Innmelding'!$D$2:$D$701='Oversikt'!O$8)*'Innmelding'!$H$2:$H$701)))</f>
        <v/>
      </c>
      <c r="AA10">
        <f>IF(OR($B10="",'Oversikt'!P$8="",'Oversikt'!$C$6=""),0,SUMPRODUCT(MAX(('Innmelding'!$A$2:$A$701='Oversikt'!$C$6)*('Innmelding'!$B$2:$B$701='Oversikt'!$C$5)*('Innmelding'!$C$2:$C$701=$B10)*('Innmelding'!$D$2:$D$701='Oversikt'!P$8)*'Innmelding'!$H$2:$H$701)))</f>
        <v/>
      </c>
      <c r="AB10">
        <f>IF(OR($B10="",'Oversikt'!Q$8="",'Oversikt'!$C$6=""),0,SUMPRODUCT(MAX(('Innmelding'!$A$2:$A$701='Oversikt'!$C$6)*('Innmelding'!$B$2:$B$701='Oversikt'!$C$5)*('Innmelding'!$C$2:$C$701=$B10)*('Innmelding'!$D$2:$D$701='Oversikt'!Q$8)*'Innmelding'!$H$2:$H$701)))</f>
        <v/>
      </c>
      <c r="AC10">
        <f>IF(OR($B10="",'Oversikt'!F$8=""),0,SUMPRODUCT(('Innmelding'!$A$2:$A$701='Oversikt'!$C$4)*('Innmelding'!$B$2:$B$701='Oversikt'!$C$5)*('Innmelding'!$C$2:$C$701=$B10)*('Innmelding'!$D$2:$D$701='Oversikt'!F$8)*('Innmelding'!$H$2:$H$701&gt;0)))</f>
        <v/>
      </c>
      <c r="AD10">
        <f>IF(OR($B10="",'Oversikt'!G$8=""),0,SUMPRODUCT(('Innmelding'!$A$2:$A$701='Oversikt'!$C$4)*('Innmelding'!$B$2:$B$701='Oversikt'!$C$5)*('Innmelding'!$C$2:$C$701=$B10)*('Innmelding'!$D$2:$D$701='Oversikt'!G$8)*('Innmelding'!$H$2:$H$701&gt;0)))</f>
        <v/>
      </c>
      <c r="AE10">
        <f>IF(OR($B10="",'Oversikt'!H$8=""),0,SUMPRODUCT(('Innmelding'!$A$2:$A$701='Oversikt'!$C$4)*('Innmelding'!$B$2:$B$701='Oversikt'!$C$5)*('Innmelding'!$C$2:$C$701=$B10)*('Innmelding'!$D$2:$D$701='Oversikt'!H$8)*('Innmelding'!$H$2:$H$701&gt;0)))</f>
        <v/>
      </c>
      <c r="AF10">
        <f>IF(OR($B10="",'Oversikt'!I$8=""),0,SUMPRODUCT(('Innmelding'!$A$2:$A$701='Oversikt'!$C$4)*('Innmelding'!$B$2:$B$701='Oversikt'!$C$5)*('Innmelding'!$C$2:$C$701=$B10)*('Innmelding'!$D$2:$D$701='Oversikt'!I$8)*('Innmelding'!$H$2:$H$701&gt;0)))</f>
        <v/>
      </c>
      <c r="AG10">
        <f>IF(OR($B10="",'Oversikt'!J$8=""),0,SUMPRODUCT(('Innmelding'!$A$2:$A$701='Oversikt'!$C$4)*('Innmelding'!$B$2:$B$701='Oversikt'!$C$5)*('Innmelding'!$C$2:$C$701=$B10)*('Innmelding'!$D$2:$D$701='Oversikt'!J$8)*('Innmelding'!$H$2:$H$701&gt;0)))</f>
        <v/>
      </c>
      <c r="AH10">
        <f>IF(OR($B10="",'Oversikt'!K$8=""),0,SUMPRODUCT(('Innmelding'!$A$2:$A$701='Oversikt'!$C$4)*('Innmelding'!$B$2:$B$701='Oversikt'!$C$5)*('Innmelding'!$C$2:$C$701=$B10)*('Innmelding'!$D$2:$D$701='Oversikt'!K$8)*('Innmelding'!$H$2:$H$701&gt;0)))</f>
        <v/>
      </c>
      <c r="AI10">
        <f>IF(OR($B10="",'Oversikt'!L$8=""),0,SUMPRODUCT(('Innmelding'!$A$2:$A$701='Oversikt'!$C$4)*('Innmelding'!$B$2:$B$701='Oversikt'!$C$5)*('Innmelding'!$C$2:$C$701=$B10)*('Innmelding'!$D$2:$D$701='Oversikt'!L$8)*('Innmelding'!$H$2:$H$701&gt;0)))</f>
        <v/>
      </c>
      <c r="AJ10">
        <f>IF(OR($B10="",'Oversikt'!M$8=""),0,SUMPRODUCT(('Innmelding'!$A$2:$A$701='Oversikt'!$C$4)*('Innmelding'!$B$2:$B$701='Oversikt'!$C$5)*('Innmelding'!$C$2:$C$701=$B10)*('Innmelding'!$D$2:$D$701='Oversikt'!M$8)*('Innmelding'!$H$2:$H$701&gt;0)))</f>
        <v/>
      </c>
      <c r="AK10">
        <f>IF(OR($B10="",'Oversikt'!N$8=""),0,SUMPRODUCT(('Innmelding'!$A$2:$A$701='Oversikt'!$C$4)*('Innmelding'!$B$2:$B$701='Oversikt'!$C$5)*('Innmelding'!$C$2:$C$701=$B10)*('Innmelding'!$D$2:$D$701='Oversikt'!N$8)*('Innmelding'!$H$2:$H$701&gt;0)))</f>
        <v/>
      </c>
      <c r="AL10">
        <f>IF(OR($B10="",'Oversikt'!O$8=""),0,SUMPRODUCT(('Innmelding'!$A$2:$A$701='Oversikt'!$C$4)*('Innmelding'!$B$2:$B$701='Oversikt'!$C$5)*('Innmelding'!$C$2:$C$701=$B10)*('Innmelding'!$D$2:$D$701='Oversikt'!O$8)*('Innmelding'!$H$2:$H$701&gt;0)))</f>
        <v/>
      </c>
      <c r="AM10">
        <f>IF(OR($B10="",'Oversikt'!P$8=""),0,SUMPRODUCT(('Innmelding'!$A$2:$A$701='Oversikt'!$C$4)*('Innmelding'!$B$2:$B$701='Oversikt'!$C$5)*('Innmelding'!$C$2:$C$701=$B10)*('Innmelding'!$D$2:$D$701='Oversikt'!P$8)*('Innmelding'!$H$2:$H$701&gt;0)))</f>
        <v/>
      </c>
      <c r="AN10">
        <f>IF(OR($B10="",'Oversikt'!Q$8=""),0,SUMPRODUCT(('Innmelding'!$A$2:$A$701='Oversikt'!$C$4)*('Innmelding'!$B$2:$B$701='Oversikt'!$C$5)*('Innmelding'!$C$2:$C$701=$B10)*('Innmelding'!$D$2:$D$701='Oversikt'!Q$8)*('Innmelding'!$H$2:$H$701&gt;0)))</f>
        <v/>
      </c>
    </row>
    <row r="11">
      <c r="A11" t="n">
        <v>10</v>
      </c>
      <c r="B11">
        <f>IFERROR(INDEX('Elevar'!$A$2:$AZ$41,$A11,MATCH('Oversikt'!$C$5,'Elevar'!$A$1:$AZ$1,0))&amp;"","")</f>
        <v/>
      </c>
      <c r="C11">
        <f>IF($B11="",-1-$A11/1000,COUNTIF($E11:$P11,3)*10000+COUNTIF($E11:$P11,2)*100+COUNTIF($E11:$P11,1)+(100-$A11)/1000)</f>
        <v/>
      </c>
      <c r="D11">
        <f>MATCH(LARGE($C$2:$C$41,$A11),$C$2:$C$41,0)</f>
        <v/>
      </c>
      <c r="E11">
        <f>IF(OR($B11="",'Oversikt'!F$8=""),0,SUMPRODUCT(MAX(('Innmelding'!$A$2:$A$701='Oversikt'!$C$4)*('Innmelding'!$B$2:$B$701='Oversikt'!$C$5)*('Innmelding'!$C$2:$C$701=$B11)*('Innmelding'!$D$2:$D$701='Oversikt'!F$8)*'Innmelding'!$H$2:$H$701)))</f>
        <v/>
      </c>
      <c r="F11">
        <f>IF(OR($B11="",'Oversikt'!G$8=""),0,SUMPRODUCT(MAX(('Innmelding'!$A$2:$A$701='Oversikt'!$C$4)*('Innmelding'!$B$2:$B$701='Oversikt'!$C$5)*('Innmelding'!$C$2:$C$701=$B11)*('Innmelding'!$D$2:$D$701='Oversikt'!G$8)*'Innmelding'!$H$2:$H$701)))</f>
        <v/>
      </c>
      <c r="G11">
        <f>IF(OR($B11="",'Oversikt'!H$8=""),0,SUMPRODUCT(MAX(('Innmelding'!$A$2:$A$701='Oversikt'!$C$4)*('Innmelding'!$B$2:$B$701='Oversikt'!$C$5)*('Innmelding'!$C$2:$C$701=$B11)*('Innmelding'!$D$2:$D$701='Oversikt'!H$8)*'Innmelding'!$H$2:$H$701)))</f>
        <v/>
      </c>
      <c r="H11">
        <f>IF(OR($B11="",'Oversikt'!I$8=""),0,SUMPRODUCT(MAX(('Innmelding'!$A$2:$A$701='Oversikt'!$C$4)*('Innmelding'!$B$2:$B$701='Oversikt'!$C$5)*('Innmelding'!$C$2:$C$701=$B11)*('Innmelding'!$D$2:$D$701='Oversikt'!I$8)*'Innmelding'!$H$2:$H$701)))</f>
        <v/>
      </c>
      <c r="I11">
        <f>IF(OR($B11="",'Oversikt'!J$8=""),0,SUMPRODUCT(MAX(('Innmelding'!$A$2:$A$701='Oversikt'!$C$4)*('Innmelding'!$B$2:$B$701='Oversikt'!$C$5)*('Innmelding'!$C$2:$C$701=$B11)*('Innmelding'!$D$2:$D$701='Oversikt'!J$8)*'Innmelding'!$H$2:$H$701)))</f>
        <v/>
      </c>
      <c r="J11">
        <f>IF(OR($B11="",'Oversikt'!K$8=""),0,SUMPRODUCT(MAX(('Innmelding'!$A$2:$A$701='Oversikt'!$C$4)*('Innmelding'!$B$2:$B$701='Oversikt'!$C$5)*('Innmelding'!$C$2:$C$701=$B11)*('Innmelding'!$D$2:$D$701='Oversikt'!K$8)*'Innmelding'!$H$2:$H$701)))</f>
        <v/>
      </c>
      <c r="K11">
        <f>IF(OR($B11="",'Oversikt'!L$8=""),0,SUMPRODUCT(MAX(('Innmelding'!$A$2:$A$701='Oversikt'!$C$4)*('Innmelding'!$B$2:$B$701='Oversikt'!$C$5)*('Innmelding'!$C$2:$C$701=$B11)*('Innmelding'!$D$2:$D$701='Oversikt'!L$8)*'Innmelding'!$H$2:$H$701)))</f>
        <v/>
      </c>
      <c r="L11">
        <f>IF(OR($B11="",'Oversikt'!M$8=""),0,SUMPRODUCT(MAX(('Innmelding'!$A$2:$A$701='Oversikt'!$C$4)*('Innmelding'!$B$2:$B$701='Oversikt'!$C$5)*('Innmelding'!$C$2:$C$701=$B11)*('Innmelding'!$D$2:$D$701='Oversikt'!M$8)*'Innmelding'!$H$2:$H$701)))</f>
        <v/>
      </c>
      <c r="M11">
        <f>IF(OR($B11="",'Oversikt'!N$8=""),0,SUMPRODUCT(MAX(('Innmelding'!$A$2:$A$701='Oversikt'!$C$4)*('Innmelding'!$B$2:$B$701='Oversikt'!$C$5)*('Innmelding'!$C$2:$C$701=$B11)*('Innmelding'!$D$2:$D$701='Oversikt'!N$8)*'Innmelding'!$H$2:$H$701)))</f>
        <v/>
      </c>
      <c r="N11">
        <f>IF(OR($B11="",'Oversikt'!O$8=""),0,SUMPRODUCT(MAX(('Innmelding'!$A$2:$A$701='Oversikt'!$C$4)*('Innmelding'!$B$2:$B$701='Oversikt'!$C$5)*('Innmelding'!$C$2:$C$701=$B11)*('Innmelding'!$D$2:$D$701='Oversikt'!O$8)*'Innmelding'!$H$2:$H$701)))</f>
        <v/>
      </c>
      <c r="O11">
        <f>IF(OR($B11="",'Oversikt'!P$8=""),0,SUMPRODUCT(MAX(('Innmelding'!$A$2:$A$701='Oversikt'!$C$4)*('Innmelding'!$B$2:$B$701='Oversikt'!$C$5)*('Innmelding'!$C$2:$C$701=$B11)*('Innmelding'!$D$2:$D$701='Oversikt'!P$8)*'Innmelding'!$H$2:$H$701)))</f>
        <v/>
      </c>
      <c r="P11">
        <f>IF(OR($B11="",'Oversikt'!Q$8=""),0,SUMPRODUCT(MAX(('Innmelding'!$A$2:$A$701='Oversikt'!$C$4)*('Innmelding'!$B$2:$B$701='Oversikt'!$C$5)*('Innmelding'!$C$2:$C$701=$B11)*('Innmelding'!$D$2:$D$701='Oversikt'!Q$8)*'Innmelding'!$H$2:$H$701)))</f>
        <v/>
      </c>
      <c r="Q11">
        <f>IF(OR($B11="",'Oversikt'!F$8="",'Oversikt'!$C$6=""),0,SUMPRODUCT(MAX(('Innmelding'!$A$2:$A$701='Oversikt'!$C$6)*('Innmelding'!$B$2:$B$701='Oversikt'!$C$5)*('Innmelding'!$C$2:$C$701=$B11)*('Innmelding'!$D$2:$D$701='Oversikt'!F$8)*'Innmelding'!$H$2:$H$701)))</f>
        <v/>
      </c>
      <c r="R11">
        <f>IF(OR($B11="",'Oversikt'!G$8="",'Oversikt'!$C$6=""),0,SUMPRODUCT(MAX(('Innmelding'!$A$2:$A$701='Oversikt'!$C$6)*('Innmelding'!$B$2:$B$701='Oversikt'!$C$5)*('Innmelding'!$C$2:$C$701=$B11)*('Innmelding'!$D$2:$D$701='Oversikt'!G$8)*'Innmelding'!$H$2:$H$701)))</f>
        <v/>
      </c>
      <c r="S11">
        <f>IF(OR($B11="",'Oversikt'!H$8="",'Oversikt'!$C$6=""),0,SUMPRODUCT(MAX(('Innmelding'!$A$2:$A$701='Oversikt'!$C$6)*('Innmelding'!$B$2:$B$701='Oversikt'!$C$5)*('Innmelding'!$C$2:$C$701=$B11)*('Innmelding'!$D$2:$D$701='Oversikt'!H$8)*'Innmelding'!$H$2:$H$701)))</f>
        <v/>
      </c>
      <c r="T11">
        <f>IF(OR($B11="",'Oversikt'!I$8="",'Oversikt'!$C$6=""),0,SUMPRODUCT(MAX(('Innmelding'!$A$2:$A$701='Oversikt'!$C$6)*('Innmelding'!$B$2:$B$701='Oversikt'!$C$5)*('Innmelding'!$C$2:$C$701=$B11)*('Innmelding'!$D$2:$D$701='Oversikt'!I$8)*'Innmelding'!$H$2:$H$701)))</f>
        <v/>
      </c>
      <c r="U11">
        <f>IF(OR($B11="",'Oversikt'!J$8="",'Oversikt'!$C$6=""),0,SUMPRODUCT(MAX(('Innmelding'!$A$2:$A$701='Oversikt'!$C$6)*('Innmelding'!$B$2:$B$701='Oversikt'!$C$5)*('Innmelding'!$C$2:$C$701=$B11)*('Innmelding'!$D$2:$D$701='Oversikt'!J$8)*'Innmelding'!$H$2:$H$701)))</f>
        <v/>
      </c>
      <c r="V11">
        <f>IF(OR($B11="",'Oversikt'!K$8="",'Oversikt'!$C$6=""),0,SUMPRODUCT(MAX(('Innmelding'!$A$2:$A$701='Oversikt'!$C$6)*('Innmelding'!$B$2:$B$701='Oversikt'!$C$5)*('Innmelding'!$C$2:$C$701=$B11)*('Innmelding'!$D$2:$D$701='Oversikt'!K$8)*'Innmelding'!$H$2:$H$701)))</f>
        <v/>
      </c>
      <c r="W11">
        <f>IF(OR($B11="",'Oversikt'!L$8="",'Oversikt'!$C$6=""),0,SUMPRODUCT(MAX(('Innmelding'!$A$2:$A$701='Oversikt'!$C$6)*('Innmelding'!$B$2:$B$701='Oversikt'!$C$5)*('Innmelding'!$C$2:$C$701=$B11)*('Innmelding'!$D$2:$D$701='Oversikt'!L$8)*'Innmelding'!$H$2:$H$701)))</f>
        <v/>
      </c>
      <c r="X11">
        <f>IF(OR($B11="",'Oversikt'!M$8="",'Oversikt'!$C$6=""),0,SUMPRODUCT(MAX(('Innmelding'!$A$2:$A$701='Oversikt'!$C$6)*('Innmelding'!$B$2:$B$701='Oversikt'!$C$5)*('Innmelding'!$C$2:$C$701=$B11)*('Innmelding'!$D$2:$D$701='Oversikt'!M$8)*'Innmelding'!$H$2:$H$701)))</f>
        <v/>
      </c>
      <c r="Y11">
        <f>IF(OR($B11="",'Oversikt'!N$8="",'Oversikt'!$C$6=""),0,SUMPRODUCT(MAX(('Innmelding'!$A$2:$A$701='Oversikt'!$C$6)*('Innmelding'!$B$2:$B$701='Oversikt'!$C$5)*('Innmelding'!$C$2:$C$701=$B11)*('Innmelding'!$D$2:$D$701='Oversikt'!N$8)*'Innmelding'!$H$2:$H$701)))</f>
        <v/>
      </c>
      <c r="Z11">
        <f>IF(OR($B11="",'Oversikt'!O$8="",'Oversikt'!$C$6=""),0,SUMPRODUCT(MAX(('Innmelding'!$A$2:$A$701='Oversikt'!$C$6)*('Innmelding'!$B$2:$B$701='Oversikt'!$C$5)*('Innmelding'!$C$2:$C$701=$B11)*('Innmelding'!$D$2:$D$701='Oversikt'!O$8)*'Innmelding'!$H$2:$H$701)))</f>
        <v/>
      </c>
      <c r="AA11">
        <f>IF(OR($B11="",'Oversikt'!P$8="",'Oversikt'!$C$6=""),0,SUMPRODUCT(MAX(('Innmelding'!$A$2:$A$701='Oversikt'!$C$6)*('Innmelding'!$B$2:$B$701='Oversikt'!$C$5)*('Innmelding'!$C$2:$C$701=$B11)*('Innmelding'!$D$2:$D$701='Oversikt'!P$8)*'Innmelding'!$H$2:$H$701)))</f>
        <v/>
      </c>
      <c r="AB11">
        <f>IF(OR($B11="",'Oversikt'!Q$8="",'Oversikt'!$C$6=""),0,SUMPRODUCT(MAX(('Innmelding'!$A$2:$A$701='Oversikt'!$C$6)*('Innmelding'!$B$2:$B$701='Oversikt'!$C$5)*('Innmelding'!$C$2:$C$701=$B11)*('Innmelding'!$D$2:$D$701='Oversikt'!Q$8)*'Innmelding'!$H$2:$H$701)))</f>
        <v/>
      </c>
      <c r="AC11">
        <f>IF(OR($B11="",'Oversikt'!F$8=""),0,SUMPRODUCT(('Innmelding'!$A$2:$A$701='Oversikt'!$C$4)*('Innmelding'!$B$2:$B$701='Oversikt'!$C$5)*('Innmelding'!$C$2:$C$701=$B11)*('Innmelding'!$D$2:$D$701='Oversikt'!F$8)*('Innmelding'!$H$2:$H$701&gt;0)))</f>
        <v/>
      </c>
      <c r="AD11">
        <f>IF(OR($B11="",'Oversikt'!G$8=""),0,SUMPRODUCT(('Innmelding'!$A$2:$A$701='Oversikt'!$C$4)*('Innmelding'!$B$2:$B$701='Oversikt'!$C$5)*('Innmelding'!$C$2:$C$701=$B11)*('Innmelding'!$D$2:$D$701='Oversikt'!G$8)*('Innmelding'!$H$2:$H$701&gt;0)))</f>
        <v/>
      </c>
      <c r="AE11">
        <f>IF(OR($B11="",'Oversikt'!H$8=""),0,SUMPRODUCT(('Innmelding'!$A$2:$A$701='Oversikt'!$C$4)*('Innmelding'!$B$2:$B$701='Oversikt'!$C$5)*('Innmelding'!$C$2:$C$701=$B11)*('Innmelding'!$D$2:$D$701='Oversikt'!H$8)*('Innmelding'!$H$2:$H$701&gt;0)))</f>
        <v/>
      </c>
      <c r="AF11">
        <f>IF(OR($B11="",'Oversikt'!I$8=""),0,SUMPRODUCT(('Innmelding'!$A$2:$A$701='Oversikt'!$C$4)*('Innmelding'!$B$2:$B$701='Oversikt'!$C$5)*('Innmelding'!$C$2:$C$701=$B11)*('Innmelding'!$D$2:$D$701='Oversikt'!I$8)*('Innmelding'!$H$2:$H$701&gt;0)))</f>
        <v/>
      </c>
      <c r="AG11">
        <f>IF(OR($B11="",'Oversikt'!J$8=""),0,SUMPRODUCT(('Innmelding'!$A$2:$A$701='Oversikt'!$C$4)*('Innmelding'!$B$2:$B$701='Oversikt'!$C$5)*('Innmelding'!$C$2:$C$701=$B11)*('Innmelding'!$D$2:$D$701='Oversikt'!J$8)*('Innmelding'!$H$2:$H$701&gt;0)))</f>
        <v/>
      </c>
      <c r="AH11">
        <f>IF(OR($B11="",'Oversikt'!K$8=""),0,SUMPRODUCT(('Innmelding'!$A$2:$A$701='Oversikt'!$C$4)*('Innmelding'!$B$2:$B$701='Oversikt'!$C$5)*('Innmelding'!$C$2:$C$701=$B11)*('Innmelding'!$D$2:$D$701='Oversikt'!K$8)*('Innmelding'!$H$2:$H$701&gt;0)))</f>
        <v/>
      </c>
      <c r="AI11">
        <f>IF(OR($B11="",'Oversikt'!L$8=""),0,SUMPRODUCT(('Innmelding'!$A$2:$A$701='Oversikt'!$C$4)*('Innmelding'!$B$2:$B$701='Oversikt'!$C$5)*('Innmelding'!$C$2:$C$701=$B11)*('Innmelding'!$D$2:$D$701='Oversikt'!L$8)*('Innmelding'!$H$2:$H$701&gt;0)))</f>
        <v/>
      </c>
      <c r="AJ11">
        <f>IF(OR($B11="",'Oversikt'!M$8=""),0,SUMPRODUCT(('Innmelding'!$A$2:$A$701='Oversikt'!$C$4)*('Innmelding'!$B$2:$B$701='Oversikt'!$C$5)*('Innmelding'!$C$2:$C$701=$B11)*('Innmelding'!$D$2:$D$701='Oversikt'!M$8)*('Innmelding'!$H$2:$H$701&gt;0)))</f>
        <v/>
      </c>
      <c r="AK11">
        <f>IF(OR($B11="",'Oversikt'!N$8=""),0,SUMPRODUCT(('Innmelding'!$A$2:$A$701='Oversikt'!$C$4)*('Innmelding'!$B$2:$B$701='Oversikt'!$C$5)*('Innmelding'!$C$2:$C$701=$B11)*('Innmelding'!$D$2:$D$701='Oversikt'!N$8)*('Innmelding'!$H$2:$H$701&gt;0)))</f>
        <v/>
      </c>
      <c r="AL11">
        <f>IF(OR($B11="",'Oversikt'!O$8=""),0,SUMPRODUCT(('Innmelding'!$A$2:$A$701='Oversikt'!$C$4)*('Innmelding'!$B$2:$B$701='Oversikt'!$C$5)*('Innmelding'!$C$2:$C$701=$B11)*('Innmelding'!$D$2:$D$701='Oversikt'!O$8)*('Innmelding'!$H$2:$H$701&gt;0)))</f>
        <v/>
      </c>
      <c r="AM11">
        <f>IF(OR($B11="",'Oversikt'!P$8=""),0,SUMPRODUCT(('Innmelding'!$A$2:$A$701='Oversikt'!$C$4)*('Innmelding'!$B$2:$B$701='Oversikt'!$C$5)*('Innmelding'!$C$2:$C$701=$B11)*('Innmelding'!$D$2:$D$701='Oversikt'!P$8)*('Innmelding'!$H$2:$H$701&gt;0)))</f>
        <v/>
      </c>
      <c r="AN11">
        <f>IF(OR($B11="",'Oversikt'!Q$8=""),0,SUMPRODUCT(('Innmelding'!$A$2:$A$701='Oversikt'!$C$4)*('Innmelding'!$B$2:$B$701='Oversikt'!$C$5)*('Innmelding'!$C$2:$C$701=$B11)*('Innmelding'!$D$2:$D$701='Oversikt'!Q$8)*('Innmelding'!$H$2:$H$701&gt;0)))</f>
        <v/>
      </c>
    </row>
    <row r="12">
      <c r="A12" t="n">
        <v>11</v>
      </c>
      <c r="B12">
        <f>IFERROR(INDEX('Elevar'!$A$2:$AZ$41,$A12,MATCH('Oversikt'!$C$5,'Elevar'!$A$1:$AZ$1,0))&amp;"","")</f>
        <v/>
      </c>
      <c r="C12">
        <f>IF($B12="",-1-$A12/1000,COUNTIF($E12:$P12,3)*10000+COUNTIF($E12:$P12,2)*100+COUNTIF($E12:$P12,1)+(100-$A12)/1000)</f>
        <v/>
      </c>
      <c r="D12">
        <f>MATCH(LARGE($C$2:$C$41,$A12),$C$2:$C$41,0)</f>
        <v/>
      </c>
      <c r="E12">
        <f>IF(OR($B12="",'Oversikt'!F$8=""),0,SUMPRODUCT(MAX(('Innmelding'!$A$2:$A$701='Oversikt'!$C$4)*('Innmelding'!$B$2:$B$701='Oversikt'!$C$5)*('Innmelding'!$C$2:$C$701=$B12)*('Innmelding'!$D$2:$D$701='Oversikt'!F$8)*'Innmelding'!$H$2:$H$701)))</f>
        <v/>
      </c>
      <c r="F12">
        <f>IF(OR($B12="",'Oversikt'!G$8=""),0,SUMPRODUCT(MAX(('Innmelding'!$A$2:$A$701='Oversikt'!$C$4)*('Innmelding'!$B$2:$B$701='Oversikt'!$C$5)*('Innmelding'!$C$2:$C$701=$B12)*('Innmelding'!$D$2:$D$701='Oversikt'!G$8)*'Innmelding'!$H$2:$H$701)))</f>
        <v/>
      </c>
      <c r="G12">
        <f>IF(OR($B12="",'Oversikt'!H$8=""),0,SUMPRODUCT(MAX(('Innmelding'!$A$2:$A$701='Oversikt'!$C$4)*('Innmelding'!$B$2:$B$701='Oversikt'!$C$5)*('Innmelding'!$C$2:$C$701=$B12)*('Innmelding'!$D$2:$D$701='Oversikt'!H$8)*'Innmelding'!$H$2:$H$701)))</f>
        <v/>
      </c>
      <c r="H12">
        <f>IF(OR($B12="",'Oversikt'!I$8=""),0,SUMPRODUCT(MAX(('Innmelding'!$A$2:$A$701='Oversikt'!$C$4)*('Innmelding'!$B$2:$B$701='Oversikt'!$C$5)*('Innmelding'!$C$2:$C$701=$B12)*('Innmelding'!$D$2:$D$701='Oversikt'!I$8)*'Innmelding'!$H$2:$H$701)))</f>
        <v/>
      </c>
      <c r="I12">
        <f>IF(OR($B12="",'Oversikt'!J$8=""),0,SUMPRODUCT(MAX(('Innmelding'!$A$2:$A$701='Oversikt'!$C$4)*('Innmelding'!$B$2:$B$701='Oversikt'!$C$5)*('Innmelding'!$C$2:$C$701=$B12)*('Innmelding'!$D$2:$D$701='Oversikt'!J$8)*'Innmelding'!$H$2:$H$701)))</f>
        <v/>
      </c>
      <c r="J12">
        <f>IF(OR($B12="",'Oversikt'!K$8=""),0,SUMPRODUCT(MAX(('Innmelding'!$A$2:$A$701='Oversikt'!$C$4)*('Innmelding'!$B$2:$B$701='Oversikt'!$C$5)*('Innmelding'!$C$2:$C$701=$B12)*('Innmelding'!$D$2:$D$701='Oversikt'!K$8)*'Innmelding'!$H$2:$H$701)))</f>
        <v/>
      </c>
      <c r="K12">
        <f>IF(OR($B12="",'Oversikt'!L$8=""),0,SUMPRODUCT(MAX(('Innmelding'!$A$2:$A$701='Oversikt'!$C$4)*('Innmelding'!$B$2:$B$701='Oversikt'!$C$5)*('Innmelding'!$C$2:$C$701=$B12)*('Innmelding'!$D$2:$D$701='Oversikt'!L$8)*'Innmelding'!$H$2:$H$701)))</f>
        <v/>
      </c>
      <c r="L12">
        <f>IF(OR($B12="",'Oversikt'!M$8=""),0,SUMPRODUCT(MAX(('Innmelding'!$A$2:$A$701='Oversikt'!$C$4)*('Innmelding'!$B$2:$B$701='Oversikt'!$C$5)*('Innmelding'!$C$2:$C$701=$B12)*('Innmelding'!$D$2:$D$701='Oversikt'!M$8)*'Innmelding'!$H$2:$H$701)))</f>
        <v/>
      </c>
      <c r="M12">
        <f>IF(OR($B12="",'Oversikt'!N$8=""),0,SUMPRODUCT(MAX(('Innmelding'!$A$2:$A$701='Oversikt'!$C$4)*('Innmelding'!$B$2:$B$701='Oversikt'!$C$5)*('Innmelding'!$C$2:$C$701=$B12)*('Innmelding'!$D$2:$D$701='Oversikt'!N$8)*'Innmelding'!$H$2:$H$701)))</f>
        <v/>
      </c>
      <c r="N12">
        <f>IF(OR($B12="",'Oversikt'!O$8=""),0,SUMPRODUCT(MAX(('Innmelding'!$A$2:$A$701='Oversikt'!$C$4)*('Innmelding'!$B$2:$B$701='Oversikt'!$C$5)*('Innmelding'!$C$2:$C$701=$B12)*('Innmelding'!$D$2:$D$701='Oversikt'!O$8)*'Innmelding'!$H$2:$H$701)))</f>
        <v/>
      </c>
      <c r="O12">
        <f>IF(OR($B12="",'Oversikt'!P$8=""),0,SUMPRODUCT(MAX(('Innmelding'!$A$2:$A$701='Oversikt'!$C$4)*('Innmelding'!$B$2:$B$701='Oversikt'!$C$5)*('Innmelding'!$C$2:$C$701=$B12)*('Innmelding'!$D$2:$D$701='Oversikt'!P$8)*'Innmelding'!$H$2:$H$701)))</f>
        <v/>
      </c>
      <c r="P12">
        <f>IF(OR($B12="",'Oversikt'!Q$8=""),0,SUMPRODUCT(MAX(('Innmelding'!$A$2:$A$701='Oversikt'!$C$4)*('Innmelding'!$B$2:$B$701='Oversikt'!$C$5)*('Innmelding'!$C$2:$C$701=$B12)*('Innmelding'!$D$2:$D$701='Oversikt'!Q$8)*'Innmelding'!$H$2:$H$701)))</f>
        <v/>
      </c>
      <c r="Q12">
        <f>IF(OR($B12="",'Oversikt'!F$8="",'Oversikt'!$C$6=""),0,SUMPRODUCT(MAX(('Innmelding'!$A$2:$A$701='Oversikt'!$C$6)*('Innmelding'!$B$2:$B$701='Oversikt'!$C$5)*('Innmelding'!$C$2:$C$701=$B12)*('Innmelding'!$D$2:$D$701='Oversikt'!F$8)*'Innmelding'!$H$2:$H$701)))</f>
        <v/>
      </c>
      <c r="R12">
        <f>IF(OR($B12="",'Oversikt'!G$8="",'Oversikt'!$C$6=""),0,SUMPRODUCT(MAX(('Innmelding'!$A$2:$A$701='Oversikt'!$C$6)*('Innmelding'!$B$2:$B$701='Oversikt'!$C$5)*('Innmelding'!$C$2:$C$701=$B12)*('Innmelding'!$D$2:$D$701='Oversikt'!G$8)*'Innmelding'!$H$2:$H$701)))</f>
        <v/>
      </c>
      <c r="S12">
        <f>IF(OR($B12="",'Oversikt'!H$8="",'Oversikt'!$C$6=""),0,SUMPRODUCT(MAX(('Innmelding'!$A$2:$A$701='Oversikt'!$C$6)*('Innmelding'!$B$2:$B$701='Oversikt'!$C$5)*('Innmelding'!$C$2:$C$701=$B12)*('Innmelding'!$D$2:$D$701='Oversikt'!H$8)*'Innmelding'!$H$2:$H$701)))</f>
        <v/>
      </c>
      <c r="T12">
        <f>IF(OR($B12="",'Oversikt'!I$8="",'Oversikt'!$C$6=""),0,SUMPRODUCT(MAX(('Innmelding'!$A$2:$A$701='Oversikt'!$C$6)*('Innmelding'!$B$2:$B$701='Oversikt'!$C$5)*('Innmelding'!$C$2:$C$701=$B12)*('Innmelding'!$D$2:$D$701='Oversikt'!I$8)*'Innmelding'!$H$2:$H$701)))</f>
        <v/>
      </c>
      <c r="U12">
        <f>IF(OR($B12="",'Oversikt'!J$8="",'Oversikt'!$C$6=""),0,SUMPRODUCT(MAX(('Innmelding'!$A$2:$A$701='Oversikt'!$C$6)*('Innmelding'!$B$2:$B$701='Oversikt'!$C$5)*('Innmelding'!$C$2:$C$701=$B12)*('Innmelding'!$D$2:$D$701='Oversikt'!J$8)*'Innmelding'!$H$2:$H$701)))</f>
        <v/>
      </c>
      <c r="V12">
        <f>IF(OR($B12="",'Oversikt'!K$8="",'Oversikt'!$C$6=""),0,SUMPRODUCT(MAX(('Innmelding'!$A$2:$A$701='Oversikt'!$C$6)*('Innmelding'!$B$2:$B$701='Oversikt'!$C$5)*('Innmelding'!$C$2:$C$701=$B12)*('Innmelding'!$D$2:$D$701='Oversikt'!K$8)*'Innmelding'!$H$2:$H$701)))</f>
        <v/>
      </c>
      <c r="W12">
        <f>IF(OR($B12="",'Oversikt'!L$8="",'Oversikt'!$C$6=""),0,SUMPRODUCT(MAX(('Innmelding'!$A$2:$A$701='Oversikt'!$C$6)*('Innmelding'!$B$2:$B$701='Oversikt'!$C$5)*('Innmelding'!$C$2:$C$701=$B12)*('Innmelding'!$D$2:$D$701='Oversikt'!L$8)*'Innmelding'!$H$2:$H$701)))</f>
        <v/>
      </c>
      <c r="X12">
        <f>IF(OR($B12="",'Oversikt'!M$8="",'Oversikt'!$C$6=""),0,SUMPRODUCT(MAX(('Innmelding'!$A$2:$A$701='Oversikt'!$C$6)*('Innmelding'!$B$2:$B$701='Oversikt'!$C$5)*('Innmelding'!$C$2:$C$701=$B12)*('Innmelding'!$D$2:$D$701='Oversikt'!M$8)*'Innmelding'!$H$2:$H$701)))</f>
        <v/>
      </c>
      <c r="Y12">
        <f>IF(OR($B12="",'Oversikt'!N$8="",'Oversikt'!$C$6=""),0,SUMPRODUCT(MAX(('Innmelding'!$A$2:$A$701='Oversikt'!$C$6)*('Innmelding'!$B$2:$B$701='Oversikt'!$C$5)*('Innmelding'!$C$2:$C$701=$B12)*('Innmelding'!$D$2:$D$701='Oversikt'!N$8)*'Innmelding'!$H$2:$H$701)))</f>
        <v/>
      </c>
      <c r="Z12">
        <f>IF(OR($B12="",'Oversikt'!O$8="",'Oversikt'!$C$6=""),0,SUMPRODUCT(MAX(('Innmelding'!$A$2:$A$701='Oversikt'!$C$6)*('Innmelding'!$B$2:$B$701='Oversikt'!$C$5)*('Innmelding'!$C$2:$C$701=$B12)*('Innmelding'!$D$2:$D$701='Oversikt'!O$8)*'Innmelding'!$H$2:$H$701)))</f>
        <v/>
      </c>
      <c r="AA12">
        <f>IF(OR($B12="",'Oversikt'!P$8="",'Oversikt'!$C$6=""),0,SUMPRODUCT(MAX(('Innmelding'!$A$2:$A$701='Oversikt'!$C$6)*('Innmelding'!$B$2:$B$701='Oversikt'!$C$5)*('Innmelding'!$C$2:$C$701=$B12)*('Innmelding'!$D$2:$D$701='Oversikt'!P$8)*'Innmelding'!$H$2:$H$701)))</f>
        <v/>
      </c>
      <c r="AB12">
        <f>IF(OR($B12="",'Oversikt'!Q$8="",'Oversikt'!$C$6=""),0,SUMPRODUCT(MAX(('Innmelding'!$A$2:$A$701='Oversikt'!$C$6)*('Innmelding'!$B$2:$B$701='Oversikt'!$C$5)*('Innmelding'!$C$2:$C$701=$B12)*('Innmelding'!$D$2:$D$701='Oversikt'!Q$8)*'Innmelding'!$H$2:$H$701)))</f>
        <v/>
      </c>
      <c r="AC12">
        <f>IF(OR($B12="",'Oversikt'!F$8=""),0,SUMPRODUCT(('Innmelding'!$A$2:$A$701='Oversikt'!$C$4)*('Innmelding'!$B$2:$B$701='Oversikt'!$C$5)*('Innmelding'!$C$2:$C$701=$B12)*('Innmelding'!$D$2:$D$701='Oversikt'!F$8)*('Innmelding'!$H$2:$H$701&gt;0)))</f>
        <v/>
      </c>
      <c r="AD12">
        <f>IF(OR($B12="",'Oversikt'!G$8=""),0,SUMPRODUCT(('Innmelding'!$A$2:$A$701='Oversikt'!$C$4)*('Innmelding'!$B$2:$B$701='Oversikt'!$C$5)*('Innmelding'!$C$2:$C$701=$B12)*('Innmelding'!$D$2:$D$701='Oversikt'!G$8)*('Innmelding'!$H$2:$H$701&gt;0)))</f>
        <v/>
      </c>
      <c r="AE12">
        <f>IF(OR($B12="",'Oversikt'!H$8=""),0,SUMPRODUCT(('Innmelding'!$A$2:$A$701='Oversikt'!$C$4)*('Innmelding'!$B$2:$B$701='Oversikt'!$C$5)*('Innmelding'!$C$2:$C$701=$B12)*('Innmelding'!$D$2:$D$701='Oversikt'!H$8)*('Innmelding'!$H$2:$H$701&gt;0)))</f>
        <v/>
      </c>
      <c r="AF12">
        <f>IF(OR($B12="",'Oversikt'!I$8=""),0,SUMPRODUCT(('Innmelding'!$A$2:$A$701='Oversikt'!$C$4)*('Innmelding'!$B$2:$B$701='Oversikt'!$C$5)*('Innmelding'!$C$2:$C$701=$B12)*('Innmelding'!$D$2:$D$701='Oversikt'!I$8)*('Innmelding'!$H$2:$H$701&gt;0)))</f>
        <v/>
      </c>
      <c r="AG12">
        <f>IF(OR($B12="",'Oversikt'!J$8=""),0,SUMPRODUCT(('Innmelding'!$A$2:$A$701='Oversikt'!$C$4)*('Innmelding'!$B$2:$B$701='Oversikt'!$C$5)*('Innmelding'!$C$2:$C$701=$B12)*('Innmelding'!$D$2:$D$701='Oversikt'!J$8)*('Innmelding'!$H$2:$H$701&gt;0)))</f>
        <v/>
      </c>
      <c r="AH12">
        <f>IF(OR($B12="",'Oversikt'!K$8=""),0,SUMPRODUCT(('Innmelding'!$A$2:$A$701='Oversikt'!$C$4)*('Innmelding'!$B$2:$B$701='Oversikt'!$C$5)*('Innmelding'!$C$2:$C$701=$B12)*('Innmelding'!$D$2:$D$701='Oversikt'!K$8)*('Innmelding'!$H$2:$H$701&gt;0)))</f>
        <v/>
      </c>
      <c r="AI12">
        <f>IF(OR($B12="",'Oversikt'!L$8=""),0,SUMPRODUCT(('Innmelding'!$A$2:$A$701='Oversikt'!$C$4)*('Innmelding'!$B$2:$B$701='Oversikt'!$C$5)*('Innmelding'!$C$2:$C$701=$B12)*('Innmelding'!$D$2:$D$701='Oversikt'!L$8)*('Innmelding'!$H$2:$H$701&gt;0)))</f>
        <v/>
      </c>
      <c r="AJ12">
        <f>IF(OR($B12="",'Oversikt'!M$8=""),0,SUMPRODUCT(('Innmelding'!$A$2:$A$701='Oversikt'!$C$4)*('Innmelding'!$B$2:$B$701='Oversikt'!$C$5)*('Innmelding'!$C$2:$C$701=$B12)*('Innmelding'!$D$2:$D$701='Oversikt'!M$8)*('Innmelding'!$H$2:$H$701&gt;0)))</f>
        <v/>
      </c>
      <c r="AK12">
        <f>IF(OR($B12="",'Oversikt'!N$8=""),0,SUMPRODUCT(('Innmelding'!$A$2:$A$701='Oversikt'!$C$4)*('Innmelding'!$B$2:$B$701='Oversikt'!$C$5)*('Innmelding'!$C$2:$C$701=$B12)*('Innmelding'!$D$2:$D$701='Oversikt'!N$8)*('Innmelding'!$H$2:$H$701&gt;0)))</f>
        <v/>
      </c>
      <c r="AL12">
        <f>IF(OR($B12="",'Oversikt'!O$8=""),0,SUMPRODUCT(('Innmelding'!$A$2:$A$701='Oversikt'!$C$4)*('Innmelding'!$B$2:$B$701='Oversikt'!$C$5)*('Innmelding'!$C$2:$C$701=$B12)*('Innmelding'!$D$2:$D$701='Oversikt'!O$8)*('Innmelding'!$H$2:$H$701&gt;0)))</f>
        <v/>
      </c>
      <c r="AM12">
        <f>IF(OR($B12="",'Oversikt'!P$8=""),0,SUMPRODUCT(('Innmelding'!$A$2:$A$701='Oversikt'!$C$4)*('Innmelding'!$B$2:$B$701='Oversikt'!$C$5)*('Innmelding'!$C$2:$C$701=$B12)*('Innmelding'!$D$2:$D$701='Oversikt'!P$8)*('Innmelding'!$H$2:$H$701&gt;0)))</f>
        <v/>
      </c>
      <c r="AN12">
        <f>IF(OR($B12="",'Oversikt'!Q$8=""),0,SUMPRODUCT(('Innmelding'!$A$2:$A$701='Oversikt'!$C$4)*('Innmelding'!$B$2:$B$701='Oversikt'!$C$5)*('Innmelding'!$C$2:$C$701=$B12)*('Innmelding'!$D$2:$D$701='Oversikt'!Q$8)*('Innmelding'!$H$2:$H$701&gt;0)))</f>
        <v/>
      </c>
    </row>
    <row r="13">
      <c r="A13" t="n">
        <v>12</v>
      </c>
      <c r="B13">
        <f>IFERROR(INDEX('Elevar'!$A$2:$AZ$41,$A13,MATCH('Oversikt'!$C$5,'Elevar'!$A$1:$AZ$1,0))&amp;"","")</f>
        <v/>
      </c>
      <c r="C13">
        <f>IF($B13="",-1-$A13/1000,COUNTIF($E13:$P13,3)*10000+COUNTIF($E13:$P13,2)*100+COUNTIF($E13:$P13,1)+(100-$A13)/1000)</f>
        <v/>
      </c>
      <c r="D13">
        <f>MATCH(LARGE($C$2:$C$41,$A13),$C$2:$C$41,0)</f>
        <v/>
      </c>
      <c r="E13">
        <f>IF(OR($B13="",'Oversikt'!F$8=""),0,SUMPRODUCT(MAX(('Innmelding'!$A$2:$A$701='Oversikt'!$C$4)*('Innmelding'!$B$2:$B$701='Oversikt'!$C$5)*('Innmelding'!$C$2:$C$701=$B13)*('Innmelding'!$D$2:$D$701='Oversikt'!F$8)*'Innmelding'!$H$2:$H$701)))</f>
        <v/>
      </c>
      <c r="F13">
        <f>IF(OR($B13="",'Oversikt'!G$8=""),0,SUMPRODUCT(MAX(('Innmelding'!$A$2:$A$701='Oversikt'!$C$4)*('Innmelding'!$B$2:$B$701='Oversikt'!$C$5)*('Innmelding'!$C$2:$C$701=$B13)*('Innmelding'!$D$2:$D$701='Oversikt'!G$8)*'Innmelding'!$H$2:$H$701)))</f>
        <v/>
      </c>
      <c r="G13">
        <f>IF(OR($B13="",'Oversikt'!H$8=""),0,SUMPRODUCT(MAX(('Innmelding'!$A$2:$A$701='Oversikt'!$C$4)*('Innmelding'!$B$2:$B$701='Oversikt'!$C$5)*('Innmelding'!$C$2:$C$701=$B13)*('Innmelding'!$D$2:$D$701='Oversikt'!H$8)*'Innmelding'!$H$2:$H$701)))</f>
        <v/>
      </c>
      <c r="H13">
        <f>IF(OR($B13="",'Oversikt'!I$8=""),0,SUMPRODUCT(MAX(('Innmelding'!$A$2:$A$701='Oversikt'!$C$4)*('Innmelding'!$B$2:$B$701='Oversikt'!$C$5)*('Innmelding'!$C$2:$C$701=$B13)*('Innmelding'!$D$2:$D$701='Oversikt'!I$8)*'Innmelding'!$H$2:$H$701)))</f>
        <v/>
      </c>
      <c r="I13">
        <f>IF(OR($B13="",'Oversikt'!J$8=""),0,SUMPRODUCT(MAX(('Innmelding'!$A$2:$A$701='Oversikt'!$C$4)*('Innmelding'!$B$2:$B$701='Oversikt'!$C$5)*('Innmelding'!$C$2:$C$701=$B13)*('Innmelding'!$D$2:$D$701='Oversikt'!J$8)*'Innmelding'!$H$2:$H$701)))</f>
        <v/>
      </c>
      <c r="J13">
        <f>IF(OR($B13="",'Oversikt'!K$8=""),0,SUMPRODUCT(MAX(('Innmelding'!$A$2:$A$701='Oversikt'!$C$4)*('Innmelding'!$B$2:$B$701='Oversikt'!$C$5)*('Innmelding'!$C$2:$C$701=$B13)*('Innmelding'!$D$2:$D$701='Oversikt'!K$8)*'Innmelding'!$H$2:$H$701)))</f>
        <v/>
      </c>
      <c r="K13">
        <f>IF(OR($B13="",'Oversikt'!L$8=""),0,SUMPRODUCT(MAX(('Innmelding'!$A$2:$A$701='Oversikt'!$C$4)*('Innmelding'!$B$2:$B$701='Oversikt'!$C$5)*('Innmelding'!$C$2:$C$701=$B13)*('Innmelding'!$D$2:$D$701='Oversikt'!L$8)*'Innmelding'!$H$2:$H$701)))</f>
        <v/>
      </c>
      <c r="L13">
        <f>IF(OR($B13="",'Oversikt'!M$8=""),0,SUMPRODUCT(MAX(('Innmelding'!$A$2:$A$701='Oversikt'!$C$4)*('Innmelding'!$B$2:$B$701='Oversikt'!$C$5)*('Innmelding'!$C$2:$C$701=$B13)*('Innmelding'!$D$2:$D$701='Oversikt'!M$8)*'Innmelding'!$H$2:$H$701)))</f>
        <v/>
      </c>
      <c r="M13">
        <f>IF(OR($B13="",'Oversikt'!N$8=""),0,SUMPRODUCT(MAX(('Innmelding'!$A$2:$A$701='Oversikt'!$C$4)*('Innmelding'!$B$2:$B$701='Oversikt'!$C$5)*('Innmelding'!$C$2:$C$701=$B13)*('Innmelding'!$D$2:$D$701='Oversikt'!N$8)*'Innmelding'!$H$2:$H$701)))</f>
        <v/>
      </c>
      <c r="N13">
        <f>IF(OR($B13="",'Oversikt'!O$8=""),0,SUMPRODUCT(MAX(('Innmelding'!$A$2:$A$701='Oversikt'!$C$4)*('Innmelding'!$B$2:$B$701='Oversikt'!$C$5)*('Innmelding'!$C$2:$C$701=$B13)*('Innmelding'!$D$2:$D$701='Oversikt'!O$8)*'Innmelding'!$H$2:$H$701)))</f>
        <v/>
      </c>
      <c r="O13">
        <f>IF(OR($B13="",'Oversikt'!P$8=""),0,SUMPRODUCT(MAX(('Innmelding'!$A$2:$A$701='Oversikt'!$C$4)*('Innmelding'!$B$2:$B$701='Oversikt'!$C$5)*('Innmelding'!$C$2:$C$701=$B13)*('Innmelding'!$D$2:$D$701='Oversikt'!P$8)*'Innmelding'!$H$2:$H$701)))</f>
        <v/>
      </c>
      <c r="P13">
        <f>IF(OR($B13="",'Oversikt'!Q$8=""),0,SUMPRODUCT(MAX(('Innmelding'!$A$2:$A$701='Oversikt'!$C$4)*('Innmelding'!$B$2:$B$701='Oversikt'!$C$5)*('Innmelding'!$C$2:$C$701=$B13)*('Innmelding'!$D$2:$D$701='Oversikt'!Q$8)*'Innmelding'!$H$2:$H$701)))</f>
        <v/>
      </c>
      <c r="Q13">
        <f>IF(OR($B13="",'Oversikt'!F$8="",'Oversikt'!$C$6=""),0,SUMPRODUCT(MAX(('Innmelding'!$A$2:$A$701='Oversikt'!$C$6)*('Innmelding'!$B$2:$B$701='Oversikt'!$C$5)*('Innmelding'!$C$2:$C$701=$B13)*('Innmelding'!$D$2:$D$701='Oversikt'!F$8)*'Innmelding'!$H$2:$H$701)))</f>
        <v/>
      </c>
      <c r="R13">
        <f>IF(OR($B13="",'Oversikt'!G$8="",'Oversikt'!$C$6=""),0,SUMPRODUCT(MAX(('Innmelding'!$A$2:$A$701='Oversikt'!$C$6)*('Innmelding'!$B$2:$B$701='Oversikt'!$C$5)*('Innmelding'!$C$2:$C$701=$B13)*('Innmelding'!$D$2:$D$701='Oversikt'!G$8)*'Innmelding'!$H$2:$H$701)))</f>
        <v/>
      </c>
      <c r="S13">
        <f>IF(OR($B13="",'Oversikt'!H$8="",'Oversikt'!$C$6=""),0,SUMPRODUCT(MAX(('Innmelding'!$A$2:$A$701='Oversikt'!$C$6)*('Innmelding'!$B$2:$B$701='Oversikt'!$C$5)*('Innmelding'!$C$2:$C$701=$B13)*('Innmelding'!$D$2:$D$701='Oversikt'!H$8)*'Innmelding'!$H$2:$H$701)))</f>
        <v/>
      </c>
      <c r="T13">
        <f>IF(OR($B13="",'Oversikt'!I$8="",'Oversikt'!$C$6=""),0,SUMPRODUCT(MAX(('Innmelding'!$A$2:$A$701='Oversikt'!$C$6)*('Innmelding'!$B$2:$B$701='Oversikt'!$C$5)*('Innmelding'!$C$2:$C$701=$B13)*('Innmelding'!$D$2:$D$701='Oversikt'!I$8)*'Innmelding'!$H$2:$H$701)))</f>
        <v/>
      </c>
      <c r="U13">
        <f>IF(OR($B13="",'Oversikt'!J$8="",'Oversikt'!$C$6=""),0,SUMPRODUCT(MAX(('Innmelding'!$A$2:$A$701='Oversikt'!$C$6)*('Innmelding'!$B$2:$B$701='Oversikt'!$C$5)*('Innmelding'!$C$2:$C$701=$B13)*('Innmelding'!$D$2:$D$701='Oversikt'!J$8)*'Innmelding'!$H$2:$H$701)))</f>
        <v/>
      </c>
      <c r="V13">
        <f>IF(OR($B13="",'Oversikt'!K$8="",'Oversikt'!$C$6=""),0,SUMPRODUCT(MAX(('Innmelding'!$A$2:$A$701='Oversikt'!$C$6)*('Innmelding'!$B$2:$B$701='Oversikt'!$C$5)*('Innmelding'!$C$2:$C$701=$B13)*('Innmelding'!$D$2:$D$701='Oversikt'!K$8)*'Innmelding'!$H$2:$H$701)))</f>
        <v/>
      </c>
      <c r="W13">
        <f>IF(OR($B13="",'Oversikt'!L$8="",'Oversikt'!$C$6=""),0,SUMPRODUCT(MAX(('Innmelding'!$A$2:$A$701='Oversikt'!$C$6)*('Innmelding'!$B$2:$B$701='Oversikt'!$C$5)*('Innmelding'!$C$2:$C$701=$B13)*('Innmelding'!$D$2:$D$701='Oversikt'!L$8)*'Innmelding'!$H$2:$H$701)))</f>
        <v/>
      </c>
      <c r="X13">
        <f>IF(OR($B13="",'Oversikt'!M$8="",'Oversikt'!$C$6=""),0,SUMPRODUCT(MAX(('Innmelding'!$A$2:$A$701='Oversikt'!$C$6)*('Innmelding'!$B$2:$B$701='Oversikt'!$C$5)*('Innmelding'!$C$2:$C$701=$B13)*('Innmelding'!$D$2:$D$701='Oversikt'!M$8)*'Innmelding'!$H$2:$H$701)))</f>
        <v/>
      </c>
      <c r="Y13">
        <f>IF(OR($B13="",'Oversikt'!N$8="",'Oversikt'!$C$6=""),0,SUMPRODUCT(MAX(('Innmelding'!$A$2:$A$701='Oversikt'!$C$6)*('Innmelding'!$B$2:$B$701='Oversikt'!$C$5)*('Innmelding'!$C$2:$C$701=$B13)*('Innmelding'!$D$2:$D$701='Oversikt'!N$8)*'Innmelding'!$H$2:$H$701)))</f>
        <v/>
      </c>
      <c r="Z13">
        <f>IF(OR($B13="",'Oversikt'!O$8="",'Oversikt'!$C$6=""),0,SUMPRODUCT(MAX(('Innmelding'!$A$2:$A$701='Oversikt'!$C$6)*('Innmelding'!$B$2:$B$701='Oversikt'!$C$5)*('Innmelding'!$C$2:$C$701=$B13)*('Innmelding'!$D$2:$D$701='Oversikt'!O$8)*'Innmelding'!$H$2:$H$701)))</f>
        <v/>
      </c>
      <c r="AA13">
        <f>IF(OR($B13="",'Oversikt'!P$8="",'Oversikt'!$C$6=""),0,SUMPRODUCT(MAX(('Innmelding'!$A$2:$A$701='Oversikt'!$C$6)*('Innmelding'!$B$2:$B$701='Oversikt'!$C$5)*('Innmelding'!$C$2:$C$701=$B13)*('Innmelding'!$D$2:$D$701='Oversikt'!P$8)*'Innmelding'!$H$2:$H$701)))</f>
        <v/>
      </c>
      <c r="AB13">
        <f>IF(OR($B13="",'Oversikt'!Q$8="",'Oversikt'!$C$6=""),0,SUMPRODUCT(MAX(('Innmelding'!$A$2:$A$701='Oversikt'!$C$6)*('Innmelding'!$B$2:$B$701='Oversikt'!$C$5)*('Innmelding'!$C$2:$C$701=$B13)*('Innmelding'!$D$2:$D$701='Oversikt'!Q$8)*'Innmelding'!$H$2:$H$701)))</f>
        <v/>
      </c>
      <c r="AC13">
        <f>IF(OR($B13="",'Oversikt'!F$8=""),0,SUMPRODUCT(('Innmelding'!$A$2:$A$701='Oversikt'!$C$4)*('Innmelding'!$B$2:$B$701='Oversikt'!$C$5)*('Innmelding'!$C$2:$C$701=$B13)*('Innmelding'!$D$2:$D$701='Oversikt'!F$8)*('Innmelding'!$H$2:$H$701&gt;0)))</f>
        <v/>
      </c>
      <c r="AD13">
        <f>IF(OR($B13="",'Oversikt'!G$8=""),0,SUMPRODUCT(('Innmelding'!$A$2:$A$701='Oversikt'!$C$4)*('Innmelding'!$B$2:$B$701='Oversikt'!$C$5)*('Innmelding'!$C$2:$C$701=$B13)*('Innmelding'!$D$2:$D$701='Oversikt'!G$8)*('Innmelding'!$H$2:$H$701&gt;0)))</f>
        <v/>
      </c>
      <c r="AE13">
        <f>IF(OR($B13="",'Oversikt'!H$8=""),0,SUMPRODUCT(('Innmelding'!$A$2:$A$701='Oversikt'!$C$4)*('Innmelding'!$B$2:$B$701='Oversikt'!$C$5)*('Innmelding'!$C$2:$C$701=$B13)*('Innmelding'!$D$2:$D$701='Oversikt'!H$8)*('Innmelding'!$H$2:$H$701&gt;0)))</f>
        <v/>
      </c>
      <c r="AF13">
        <f>IF(OR($B13="",'Oversikt'!I$8=""),0,SUMPRODUCT(('Innmelding'!$A$2:$A$701='Oversikt'!$C$4)*('Innmelding'!$B$2:$B$701='Oversikt'!$C$5)*('Innmelding'!$C$2:$C$701=$B13)*('Innmelding'!$D$2:$D$701='Oversikt'!I$8)*('Innmelding'!$H$2:$H$701&gt;0)))</f>
        <v/>
      </c>
      <c r="AG13">
        <f>IF(OR($B13="",'Oversikt'!J$8=""),0,SUMPRODUCT(('Innmelding'!$A$2:$A$701='Oversikt'!$C$4)*('Innmelding'!$B$2:$B$701='Oversikt'!$C$5)*('Innmelding'!$C$2:$C$701=$B13)*('Innmelding'!$D$2:$D$701='Oversikt'!J$8)*('Innmelding'!$H$2:$H$701&gt;0)))</f>
        <v/>
      </c>
      <c r="AH13">
        <f>IF(OR($B13="",'Oversikt'!K$8=""),0,SUMPRODUCT(('Innmelding'!$A$2:$A$701='Oversikt'!$C$4)*('Innmelding'!$B$2:$B$701='Oversikt'!$C$5)*('Innmelding'!$C$2:$C$701=$B13)*('Innmelding'!$D$2:$D$701='Oversikt'!K$8)*('Innmelding'!$H$2:$H$701&gt;0)))</f>
        <v/>
      </c>
      <c r="AI13">
        <f>IF(OR($B13="",'Oversikt'!L$8=""),0,SUMPRODUCT(('Innmelding'!$A$2:$A$701='Oversikt'!$C$4)*('Innmelding'!$B$2:$B$701='Oversikt'!$C$5)*('Innmelding'!$C$2:$C$701=$B13)*('Innmelding'!$D$2:$D$701='Oversikt'!L$8)*('Innmelding'!$H$2:$H$701&gt;0)))</f>
        <v/>
      </c>
      <c r="AJ13">
        <f>IF(OR($B13="",'Oversikt'!M$8=""),0,SUMPRODUCT(('Innmelding'!$A$2:$A$701='Oversikt'!$C$4)*('Innmelding'!$B$2:$B$701='Oversikt'!$C$5)*('Innmelding'!$C$2:$C$701=$B13)*('Innmelding'!$D$2:$D$701='Oversikt'!M$8)*('Innmelding'!$H$2:$H$701&gt;0)))</f>
        <v/>
      </c>
      <c r="AK13">
        <f>IF(OR($B13="",'Oversikt'!N$8=""),0,SUMPRODUCT(('Innmelding'!$A$2:$A$701='Oversikt'!$C$4)*('Innmelding'!$B$2:$B$701='Oversikt'!$C$5)*('Innmelding'!$C$2:$C$701=$B13)*('Innmelding'!$D$2:$D$701='Oversikt'!N$8)*('Innmelding'!$H$2:$H$701&gt;0)))</f>
        <v/>
      </c>
      <c r="AL13">
        <f>IF(OR($B13="",'Oversikt'!O$8=""),0,SUMPRODUCT(('Innmelding'!$A$2:$A$701='Oversikt'!$C$4)*('Innmelding'!$B$2:$B$701='Oversikt'!$C$5)*('Innmelding'!$C$2:$C$701=$B13)*('Innmelding'!$D$2:$D$701='Oversikt'!O$8)*('Innmelding'!$H$2:$H$701&gt;0)))</f>
        <v/>
      </c>
      <c r="AM13">
        <f>IF(OR($B13="",'Oversikt'!P$8=""),0,SUMPRODUCT(('Innmelding'!$A$2:$A$701='Oversikt'!$C$4)*('Innmelding'!$B$2:$B$701='Oversikt'!$C$5)*('Innmelding'!$C$2:$C$701=$B13)*('Innmelding'!$D$2:$D$701='Oversikt'!P$8)*('Innmelding'!$H$2:$H$701&gt;0)))</f>
        <v/>
      </c>
      <c r="AN13">
        <f>IF(OR($B13="",'Oversikt'!Q$8=""),0,SUMPRODUCT(('Innmelding'!$A$2:$A$701='Oversikt'!$C$4)*('Innmelding'!$B$2:$B$701='Oversikt'!$C$5)*('Innmelding'!$C$2:$C$701=$B13)*('Innmelding'!$D$2:$D$701='Oversikt'!Q$8)*('Innmelding'!$H$2:$H$701&gt;0)))</f>
        <v/>
      </c>
    </row>
    <row r="14">
      <c r="A14" t="n">
        <v>13</v>
      </c>
      <c r="B14">
        <f>IFERROR(INDEX('Elevar'!$A$2:$AZ$41,$A14,MATCH('Oversikt'!$C$5,'Elevar'!$A$1:$AZ$1,0))&amp;"","")</f>
        <v/>
      </c>
      <c r="C14">
        <f>IF($B14="",-1-$A14/1000,COUNTIF($E14:$P14,3)*10000+COUNTIF($E14:$P14,2)*100+COUNTIF($E14:$P14,1)+(100-$A14)/1000)</f>
        <v/>
      </c>
      <c r="D14">
        <f>MATCH(LARGE($C$2:$C$41,$A14),$C$2:$C$41,0)</f>
        <v/>
      </c>
      <c r="E14">
        <f>IF(OR($B14="",'Oversikt'!F$8=""),0,SUMPRODUCT(MAX(('Innmelding'!$A$2:$A$701='Oversikt'!$C$4)*('Innmelding'!$B$2:$B$701='Oversikt'!$C$5)*('Innmelding'!$C$2:$C$701=$B14)*('Innmelding'!$D$2:$D$701='Oversikt'!F$8)*'Innmelding'!$H$2:$H$701)))</f>
        <v/>
      </c>
      <c r="F14">
        <f>IF(OR($B14="",'Oversikt'!G$8=""),0,SUMPRODUCT(MAX(('Innmelding'!$A$2:$A$701='Oversikt'!$C$4)*('Innmelding'!$B$2:$B$701='Oversikt'!$C$5)*('Innmelding'!$C$2:$C$701=$B14)*('Innmelding'!$D$2:$D$701='Oversikt'!G$8)*'Innmelding'!$H$2:$H$701)))</f>
        <v/>
      </c>
      <c r="G14">
        <f>IF(OR($B14="",'Oversikt'!H$8=""),0,SUMPRODUCT(MAX(('Innmelding'!$A$2:$A$701='Oversikt'!$C$4)*('Innmelding'!$B$2:$B$701='Oversikt'!$C$5)*('Innmelding'!$C$2:$C$701=$B14)*('Innmelding'!$D$2:$D$701='Oversikt'!H$8)*'Innmelding'!$H$2:$H$701)))</f>
        <v/>
      </c>
      <c r="H14">
        <f>IF(OR($B14="",'Oversikt'!I$8=""),0,SUMPRODUCT(MAX(('Innmelding'!$A$2:$A$701='Oversikt'!$C$4)*('Innmelding'!$B$2:$B$701='Oversikt'!$C$5)*('Innmelding'!$C$2:$C$701=$B14)*('Innmelding'!$D$2:$D$701='Oversikt'!I$8)*'Innmelding'!$H$2:$H$701)))</f>
        <v/>
      </c>
      <c r="I14">
        <f>IF(OR($B14="",'Oversikt'!J$8=""),0,SUMPRODUCT(MAX(('Innmelding'!$A$2:$A$701='Oversikt'!$C$4)*('Innmelding'!$B$2:$B$701='Oversikt'!$C$5)*('Innmelding'!$C$2:$C$701=$B14)*('Innmelding'!$D$2:$D$701='Oversikt'!J$8)*'Innmelding'!$H$2:$H$701)))</f>
        <v/>
      </c>
      <c r="J14">
        <f>IF(OR($B14="",'Oversikt'!K$8=""),0,SUMPRODUCT(MAX(('Innmelding'!$A$2:$A$701='Oversikt'!$C$4)*('Innmelding'!$B$2:$B$701='Oversikt'!$C$5)*('Innmelding'!$C$2:$C$701=$B14)*('Innmelding'!$D$2:$D$701='Oversikt'!K$8)*'Innmelding'!$H$2:$H$701)))</f>
        <v/>
      </c>
      <c r="K14">
        <f>IF(OR($B14="",'Oversikt'!L$8=""),0,SUMPRODUCT(MAX(('Innmelding'!$A$2:$A$701='Oversikt'!$C$4)*('Innmelding'!$B$2:$B$701='Oversikt'!$C$5)*('Innmelding'!$C$2:$C$701=$B14)*('Innmelding'!$D$2:$D$701='Oversikt'!L$8)*'Innmelding'!$H$2:$H$701)))</f>
        <v/>
      </c>
      <c r="L14">
        <f>IF(OR($B14="",'Oversikt'!M$8=""),0,SUMPRODUCT(MAX(('Innmelding'!$A$2:$A$701='Oversikt'!$C$4)*('Innmelding'!$B$2:$B$701='Oversikt'!$C$5)*('Innmelding'!$C$2:$C$701=$B14)*('Innmelding'!$D$2:$D$701='Oversikt'!M$8)*'Innmelding'!$H$2:$H$701)))</f>
        <v/>
      </c>
      <c r="M14">
        <f>IF(OR($B14="",'Oversikt'!N$8=""),0,SUMPRODUCT(MAX(('Innmelding'!$A$2:$A$701='Oversikt'!$C$4)*('Innmelding'!$B$2:$B$701='Oversikt'!$C$5)*('Innmelding'!$C$2:$C$701=$B14)*('Innmelding'!$D$2:$D$701='Oversikt'!N$8)*'Innmelding'!$H$2:$H$701)))</f>
        <v/>
      </c>
      <c r="N14">
        <f>IF(OR($B14="",'Oversikt'!O$8=""),0,SUMPRODUCT(MAX(('Innmelding'!$A$2:$A$701='Oversikt'!$C$4)*('Innmelding'!$B$2:$B$701='Oversikt'!$C$5)*('Innmelding'!$C$2:$C$701=$B14)*('Innmelding'!$D$2:$D$701='Oversikt'!O$8)*'Innmelding'!$H$2:$H$701)))</f>
        <v/>
      </c>
      <c r="O14">
        <f>IF(OR($B14="",'Oversikt'!P$8=""),0,SUMPRODUCT(MAX(('Innmelding'!$A$2:$A$701='Oversikt'!$C$4)*('Innmelding'!$B$2:$B$701='Oversikt'!$C$5)*('Innmelding'!$C$2:$C$701=$B14)*('Innmelding'!$D$2:$D$701='Oversikt'!P$8)*'Innmelding'!$H$2:$H$701)))</f>
        <v/>
      </c>
      <c r="P14">
        <f>IF(OR($B14="",'Oversikt'!Q$8=""),0,SUMPRODUCT(MAX(('Innmelding'!$A$2:$A$701='Oversikt'!$C$4)*('Innmelding'!$B$2:$B$701='Oversikt'!$C$5)*('Innmelding'!$C$2:$C$701=$B14)*('Innmelding'!$D$2:$D$701='Oversikt'!Q$8)*'Innmelding'!$H$2:$H$701)))</f>
        <v/>
      </c>
      <c r="Q14">
        <f>IF(OR($B14="",'Oversikt'!F$8="",'Oversikt'!$C$6=""),0,SUMPRODUCT(MAX(('Innmelding'!$A$2:$A$701='Oversikt'!$C$6)*('Innmelding'!$B$2:$B$701='Oversikt'!$C$5)*('Innmelding'!$C$2:$C$701=$B14)*('Innmelding'!$D$2:$D$701='Oversikt'!F$8)*'Innmelding'!$H$2:$H$701)))</f>
        <v/>
      </c>
      <c r="R14">
        <f>IF(OR($B14="",'Oversikt'!G$8="",'Oversikt'!$C$6=""),0,SUMPRODUCT(MAX(('Innmelding'!$A$2:$A$701='Oversikt'!$C$6)*('Innmelding'!$B$2:$B$701='Oversikt'!$C$5)*('Innmelding'!$C$2:$C$701=$B14)*('Innmelding'!$D$2:$D$701='Oversikt'!G$8)*'Innmelding'!$H$2:$H$701)))</f>
        <v/>
      </c>
      <c r="S14">
        <f>IF(OR($B14="",'Oversikt'!H$8="",'Oversikt'!$C$6=""),0,SUMPRODUCT(MAX(('Innmelding'!$A$2:$A$701='Oversikt'!$C$6)*('Innmelding'!$B$2:$B$701='Oversikt'!$C$5)*('Innmelding'!$C$2:$C$701=$B14)*('Innmelding'!$D$2:$D$701='Oversikt'!H$8)*'Innmelding'!$H$2:$H$701)))</f>
        <v/>
      </c>
      <c r="T14">
        <f>IF(OR($B14="",'Oversikt'!I$8="",'Oversikt'!$C$6=""),0,SUMPRODUCT(MAX(('Innmelding'!$A$2:$A$701='Oversikt'!$C$6)*('Innmelding'!$B$2:$B$701='Oversikt'!$C$5)*('Innmelding'!$C$2:$C$701=$B14)*('Innmelding'!$D$2:$D$701='Oversikt'!I$8)*'Innmelding'!$H$2:$H$701)))</f>
        <v/>
      </c>
      <c r="U14">
        <f>IF(OR($B14="",'Oversikt'!J$8="",'Oversikt'!$C$6=""),0,SUMPRODUCT(MAX(('Innmelding'!$A$2:$A$701='Oversikt'!$C$6)*('Innmelding'!$B$2:$B$701='Oversikt'!$C$5)*('Innmelding'!$C$2:$C$701=$B14)*('Innmelding'!$D$2:$D$701='Oversikt'!J$8)*'Innmelding'!$H$2:$H$701)))</f>
        <v/>
      </c>
      <c r="V14">
        <f>IF(OR($B14="",'Oversikt'!K$8="",'Oversikt'!$C$6=""),0,SUMPRODUCT(MAX(('Innmelding'!$A$2:$A$701='Oversikt'!$C$6)*('Innmelding'!$B$2:$B$701='Oversikt'!$C$5)*('Innmelding'!$C$2:$C$701=$B14)*('Innmelding'!$D$2:$D$701='Oversikt'!K$8)*'Innmelding'!$H$2:$H$701)))</f>
        <v/>
      </c>
      <c r="W14">
        <f>IF(OR($B14="",'Oversikt'!L$8="",'Oversikt'!$C$6=""),0,SUMPRODUCT(MAX(('Innmelding'!$A$2:$A$701='Oversikt'!$C$6)*('Innmelding'!$B$2:$B$701='Oversikt'!$C$5)*('Innmelding'!$C$2:$C$701=$B14)*('Innmelding'!$D$2:$D$701='Oversikt'!L$8)*'Innmelding'!$H$2:$H$701)))</f>
        <v/>
      </c>
      <c r="X14">
        <f>IF(OR($B14="",'Oversikt'!M$8="",'Oversikt'!$C$6=""),0,SUMPRODUCT(MAX(('Innmelding'!$A$2:$A$701='Oversikt'!$C$6)*('Innmelding'!$B$2:$B$701='Oversikt'!$C$5)*('Innmelding'!$C$2:$C$701=$B14)*('Innmelding'!$D$2:$D$701='Oversikt'!M$8)*'Innmelding'!$H$2:$H$701)))</f>
        <v/>
      </c>
      <c r="Y14">
        <f>IF(OR($B14="",'Oversikt'!N$8="",'Oversikt'!$C$6=""),0,SUMPRODUCT(MAX(('Innmelding'!$A$2:$A$701='Oversikt'!$C$6)*('Innmelding'!$B$2:$B$701='Oversikt'!$C$5)*('Innmelding'!$C$2:$C$701=$B14)*('Innmelding'!$D$2:$D$701='Oversikt'!N$8)*'Innmelding'!$H$2:$H$701)))</f>
        <v/>
      </c>
      <c r="Z14">
        <f>IF(OR($B14="",'Oversikt'!O$8="",'Oversikt'!$C$6=""),0,SUMPRODUCT(MAX(('Innmelding'!$A$2:$A$701='Oversikt'!$C$6)*('Innmelding'!$B$2:$B$701='Oversikt'!$C$5)*('Innmelding'!$C$2:$C$701=$B14)*('Innmelding'!$D$2:$D$701='Oversikt'!O$8)*'Innmelding'!$H$2:$H$701)))</f>
        <v/>
      </c>
      <c r="AA14">
        <f>IF(OR($B14="",'Oversikt'!P$8="",'Oversikt'!$C$6=""),0,SUMPRODUCT(MAX(('Innmelding'!$A$2:$A$701='Oversikt'!$C$6)*('Innmelding'!$B$2:$B$701='Oversikt'!$C$5)*('Innmelding'!$C$2:$C$701=$B14)*('Innmelding'!$D$2:$D$701='Oversikt'!P$8)*'Innmelding'!$H$2:$H$701)))</f>
        <v/>
      </c>
      <c r="AB14">
        <f>IF(OR($B14="",'Oversikt'!Q$8="",'Oversikt'!$C$6=""),0,SUMPRODUCT(MAX(('Innmelding'!$A$2:$A$701='Oversikt'!$C$6)*('Innmelding'!$B$2:$B$701='Oversikt'!$C$5)*('Innmelding'!$C$2:$C$701=$B14)*('Innmelding'!$D$2:$D$701='Oversikt'!Q$8)*'Innmelding'!$H$2:$H$701)))</f>
        <v/>
      </c>
      <c r="AC14">
        <f>IF(OR($B14="",'Oversikt'!F$8=""),0,SUMPRODUCT(('Innmelding'!$A$2:$A$701='Oversikt'!$C$4)*('Innmelding'!$B$2:$B$701='Oversikt'!$C$5)*('Innmelding'!$C$2:$C$701=$B14)*('Innmelding'!$D$2:$D$701='Oversikt'!F$8)*('Innmelding'!$H$2:$H$701&gt;0)))</f>
        <v/>
      </c>
      <c r="AD14">
        <f>IF(OR($B14="",'Oversikt'!G$8=""),0,SUMPRODUCT(('Innmelding'!$A$2:$A$701='Oversikt'!$C$4)*('Innmelding'!$B$2:$B$701='Oversikt'!$C$5)*('Innmelding'!$C$2:$C$701=$B14)*('Innmelding'!$D$2:$D$701='Oversikt'!G$8)*('Innmelding'!$H$2:$H$701&gt;0)))</f>
        <v/>
      </c>
      <c r="AE14">
        <f>IF(OR($B14="",'Oversikt'!H$8=""),0,SUMPRODUCT(('Innmelding'!$A$2:$A$701='Oversikt'!$C$4)*('Innmelding'!$B$2:$B$701='Oversikt'!$C$5)*('Innmelding'!$C$2:$C$701=$B14)*('Innmelding'!$D$2:$D$701='Oversikt'!H$8)*('Innmelding'!$H$2:$H$701&gt;0)))</f>
        <v/>
      </c>
      <c r="AF14">
        <f>IF(OR($B14="",'Oversikt'!I$8=""),0,SUMPRODUCT(('Innmelding'!$A$2:$A$701='Oversikt'!$C$4)*('Innmelding'!$B$2:$B$701='Oversikt'!$C$5)*('Innmelding'!$C$2:$C$701=$B14)*('Innmelding'!$D$2:$D$701='Oversikt'!I$8)*('Innmelding'!$H$2:$H$701&gt;0)))</f>
        <v/>
      </c>
      <c r="AG14">
        <f>IF(OR($B14="",'Oversikt'!J$8=""),0,SUMPRODUCT(('Innmelding'!$A$2:$A$701='Oversikt'!$C$4)*('Innmelding'!$B$2:$B$701='Oversikt'!$C$5)*('Innmelding'!$C$2:$C$701=$B14)*('Innmelding'!$D$2:$D$701='Oversikt'!J$8)*('Innmelding'!$H$2:$H$701&gt;0)))</f>
        <v/>
      </c>
      <c r="AH14">
        <f>IF(OR($B14="",'Oversikt'!K$8=""),0,SUMPRODUCT(('Innmelding'!$A$2:$A$701='Oversikt'!$C$4)*('Innmelding'!$B$2:$B$701='Oversikt'!$C$5)*('Innmelding'!$C$2:$C$701=$B14)*('Innmelding'!$D$2:$D$701='Oversikt'!K$8)*('Innmelding'!$H$2:$H$701&gt;0)))</f>
        <v/>
      </c>
      <c r="AI14">
        <f>IF(OR($B14="",'Oversikt'!L$8=""),0,SUMPRODUCT(('Innmelding'!$A$2:$A$701='Oversikt'!$C$4)*('Innmelding'!$B$2:$B$701='Oversikt'!$C$5)*('Innmelding'!$C$2:$C$701=$B14)*('Innmelding'!$D$2:$D$701='Oversikt'!L$8)*('Innmelding'!$H$2:$H$701&gt;0)))</f>
        <v/>
      </c>
      <c r="AJ14">
        <f>IF(OR($B14="",'Oversikt'!M$8=""),0,SUMPRODUCT(('Innmelding'!$A$2:$A$701='Oversikt'!$C$4)*('Innmelding'!$B$2:$B$701='Oversikt'!$C$5)*('Innmelding'!$C$2:$C$701=$B14)*('Innmelding'!$D$2:$D$701='Oversikt'!M$8)*('Innmelding'!$H$2:$H$701&gt;0)))</f>
        <v/>
      </c>
      <c r="AK14">
        <f>IF(OR($B14="",'Oversikt'!N$8=""),0,SUMPRODUCT(('Innmelding'!$A$2:$A$701='Oversikt'!$C$4)*('Innmelding'!$B$2:$B$701='Oversikt'!$C$5)*('Innmelding'!$C$2:$C$701=$B14)*('Innmelding'!$D$2:$D$701='Oversikt'!N$8)*('Innmelding'!$H$2:$H$701&gt;0)))</f>
        <v/>
      </c>
      <c r="AL14">
        <f>IF(OR($B14="",'Oversikt'!O$8=""),0,SUMPRODUCT(('Innmelding'!$A$2:$A$701='Oversikt'!$C$4)*('Innmelding'!$B$2:$B$701='Oversikt'!$C$5)*('Innmelding'!$C$2:$C$701=$B14)*('Innmelding'!$D$2:$D$701='Oversikt'!O$8)*('Innmelding'!$H$2:$H$701&gt;0)))</f>
        <v/>
      </c>
      <c r="AM14">
        <f>IF(OR($B14="",'Oversikt'!P$8=""),0,SUMPRODUCT(('Innmelding'!$A$2:$A$701='Oversikt'!$C$4)*('Innmelding'!$B$2:$B$701='Oversikt'!$C$5)*('Innmelding'!$C$2:$C$701=$B14)*('Innmelding'!$D$2:$D$701='Oversikt'!P$8)*('Innmelding'!$H$2:$H$701&gt;0)))</f>
        <v/>
      </c>
      <c r="AN14">
        <f>IF(OR($B14="",'Oversikt'!Q$8=""),0,SUMPRODUCT(('Innmelding'!$A$2:$A$701='Oversikt'!$C$4)*('Innmelding'!$B$2:$B$701='Oversikt'!$C$5)*('Innmelding'!$C$2:$C$701=$B14)*('Innmelding'!$D$2:$D$701='Oversikt'!Q$8)*('Innmelding'!$H$2:$H$701&gt;0)))</f>
        <v/>
      </c>
    </row>
    <row r="15">
      <c r="A15" t="n">
        <v>14</v>
      </c>
      <c r="B15">
        <f>IFERROR(INDEX('Elevar'!$A$2:$AZ$41,$A15,MATCH('Oversikt'!$C$5,'Elevar'!$A$1:$AZ$1,0))&amp;"","")</f>
        <v/>
      </c>
      <c r="C15">
        <f>IF($B15="",-1-$A15/1000,COUNTIF($E15:$P15,3)*10000+COUNTIF($E15:$P15,2)*100+COUNTIF($E15:$P15,1)+(100-$A15)/1000)</f>
        <v/>
      </c>
      <c r="D15">
        <f>MATCH(LARGE($C$2:$C$41,$A15),$C$2:$C$41,0)</f>
        <v/>
      </c>
      <c r="E15">
        <f>IF(OR($B15="",'Oversikt'!F$8=""),0,SUMPRODUCT(MAX(('Innmelding'!$A$2:$A$701='Oversikt'!$C$4)*('Innmelding'!$B$2:$B$701='Oversikt'!$C$5)*('Innmelding'!$C$2:$C$701=$B15)*('Innmelding'!$D$2:$D$701='Oversikt'!F$8)*'Innmelding'!$H$2:$H$701)))</f>
        <v/>
      </c>
      <c r="F15">
        <f>IF(OR($B15="",'Oversikt'!G$8=""),0,SUMPRODUCT(MAX(('Innmelding'!$A$2:$A$701='Oversikt'!$C$4)*('Innmelding'!$B$2:$B$701='Oversikt'!$C$5)*('Innmelding'!$C$2:$C$701=$B15)*('Innmelding'!$D$2:$D$701='Oversikt'!G$8)*'Innmelding'!$H$2:$H$701)))</f>
        <v/>
      </c>
      <c r="G15">
        <f>IF(OR($B15="",'Oversikt'!H$8=""),0,SUMPRODUCT(MAX(('Innmelding'!$A$2:$A$701='Oversikt'!$C$4)*('Innmelding'!$B$2:$B$701='Oversikt'!$C$5)*('Innmelding'!$C$2:$C$701=$B15)*('Innmelding'!$D$2:$D$701='Oversikt'!H$8)*'Innmelding'!$H$2:$H$701)))</f>
        <v/>
      </c>
      <c r="H15">
        <f>IF(OR($B15="",'Oversikt'!I$8=""),0,SUMPRODUCT(MAX(('Innmelding'!$A$2:$A$701='Oversikt'!$C$4)*('Innmelding'!$B$2:$B$701='Oversikt'!$C$5)*('Innmelding'!$C$2:$C$701=$B15)*('Innmelding'!$D$2:$D$701='Oversikt'!I$8)*'Innmelding'!$H$2:$H$701)))</f>
        <v/>
      </c>
      <c r="I15">
        <f>IF(OR($B15="",'Oversikt'!J$8=""),0,SUMPRODUCT(MAX(('Innmelding'!$A$2:$A$701='Oversikt'!$C$4)*('Innmelding'!$B$2:$B$701='Oversikt'!$C$5)*('Innmelding'!$C$2:$C$701=$B15)*('Innmelding'!$D$2:$D$701='Oversikt'!J$8)*'Innmelding'!$H$2:$H$701)))</f>
        <v/>
      </c>
      <c r="J15">
        <f>IF(OR($B15="",'Oversikt'!K$8=""),0,SUMPRODUCT(MAX(('Innmelding'!$A$2:$A$701='Oversikt'!$C$4)*('Innmelding'!$B$2:$B$701='Oversikt'!$C$5)*('Innmelding'!$C$2:$C$701=$B15)*('Innmelding'!$D$2:$D$701='Oversikt'!K$8)*'Innmelding'!$H$2:$H$701)))</f>
        <v/>
      </c>
      <c r="K15">
        <f>IF(OR($B15="",'Oversikt'!L$8=""),0,SUMPRODUCT(MAX(('Innmelding'!$A$2:$A$701='Oversikt'!$C$4)*('Innmelding'!$B$2:$B$701='Oversikt'!$C$5)*('Innmelding'!$C$2:$C$701=$B15)*('Innmelding'!$D$2:$D$701='Oversikt'!L$8)*'Innmelding'!$H$2:$H$701)))</f>
        <v/>
      </c>
      <c r="L15">
        <f>IF(OR($B15="",'Oversikt'!M$8=""),0,SUMPRODUCT(MAX(('Innmelding'!$A$2:$A$701='Oversikt'!$C$4)*('Innmelding'!$B$2:$B$701='Oversikt'!$C$5)*('Innmelding'!$C$2:$C$701=$B15)*('Innmelding'!$D$2:$D$701='Oversikt'!M$8)*'Innmelding'!$H$2:$H$701)))</f>
        <v/>
      </c>
      <c r="M15">
        <f>IF(OR($B15="",'Oversikt'!N$8=""),0,SUMPRODUCT(MAX(('Innmelding'!$A$2:$A$701='Oversikt'!$C$4)*('Innmelding'!$B$2:$B$701='Oversikt'!$C$5)*('Innmelding'!$C$2:$C$701=$B15)*('Innmelding'!$D$2:$D$701='Oversikt'!N$8)*'Innmelding'!$H$2:$H$701)))</f>
        <v/>
      </c>
      <c r="N15">
        <f>IF(OR($B15="",'Oversikt'!O$8=""),0,SUMPRODUCT(MAX(('Innmelding'!$A$2:$A$701='Oversikt'!$C$4)*('Innmelding'!$B$2:$B$701='Oversikt'!$C$5)*('Innmelding'!$C$2:$C$701=$B15)*('Innmelding'!$D$2:$D$701='Oversikt'!O$8)*'Innmelding'!$H$2:$H$701)))</f>
        <v/>
      </c>
      <c r="O15">
        <f>IF(OR($B15="",'Oversikt'!P$8=""),0,SUMPRODUCT(MAX(('Innmelding'!$A$2:$A$701='Oversikt'!$C$4)*('Innmelding'!$B$2:$B$701='Oversikt'!$C$5)*('Innmelding'!$C$2:$C$701=$B15)*('Innmelding'!$D$2:$D$701='Oversikt'!P$8)*'Innmelding'!$H$2:$H$701)))</f>
        <v/>
      </c>
      <c r="P15">
        <f>IF(OR($B15="",'Oversikt'!Q$8=""),0,SUMPRODUCT(MAX(('Innmelding'!$A$2:$A$701='Oversikt'!$C$4)*('Innmelding'!$B$2:$B$701='Oversikt'!$C$5)*('Innmelding'!$C$2:$C$701=$B15)*('Innmelding'!$D$2:$D$701='Oversikt'!Q$8)*'Innmelding'!$H$2:$H$701)))</f>
        <v/>
      </c>
      <c r="Q15">
        <f>IF(OR($B15="",'Oversikt'!F$8="",'Oversikt'!$C$6=""),0,SUMPRODUCT(MAX(('Innmelding'!$A$2:$A$701='Oversikt'!$C$6)*('Innmelding'!$B$2:$B$701='Oversikt'!$C$5)*('Innmelding'!$C$2:$C$701=$B15)*('Innmelding'!$D$2:$D$701='Oversikt'!F$8)*'Innmelding'!$H$2:$H$701)))</f>
        <v/>
      </c>
      <c r="R15">
        <f>IF(OR($B15="",'Oversikt'!G$8="",'Oversikt'!$C$6=""),0,SUMPRODUCT(MAX(('Innmelding'!$A$2:$A$701='Oversikt'!$C$6)*('Innmelding'!$B$2:$B$701='Oversikt'!$C$5)*('Innmelding'!$C$2:$C$701=$B15)*('Innmelding'!$D$2:$D$701='Oversikt'!G$8)*'Innmelding'!$H$2:$H$701)))</f>
        <v/>
      </c>
      <c r="S15">
        <f>IF(OR($B15="",'Oversikt'!H$8="",'Oversikt'!$C$6=""),0,SUMPRODUCT(MAX(('Innmelding'!$A$2:$A$701='Oversikt'!$C$6)*('Innmelding'!$B$2:$B$701='Oversikt'!$C$5)*('Innmelding'!$C$2:$C$701=$B15)*('Innmelding'!$D$2:$D$701='Oversikt'!H$8)*'Innmelding'!$H$2:$H$701)))</f>
        <v/>
      </c>
      <c r="T15">
        <f>IF(OR($B15="",'Oversikt'!I$8="",'Oversikt'!$C$6=""),0,SUMPRODUCT(MAX(('Innmelding'!$A$2:$A$701='Oversikt'!$C$6)*('Innmelding'!$B$2:$B$701='Oversikt'!$C$5)*('Innmelding'!$C$2:$C$701=$B15)*('Innmelding'!$D$2:$D$701='Oversikt'!I$8)*'Innmelding'!$H$2:$H$701)))</f>
        <v/>
      </c>
      <c r="U15">
        <f>IF(OR($B15="",'Oversikt'!J$8="",'Oversikt'!$C$6=""),0,SUMPRODUCT(MAX(('Innmelding'!$A$2:$A$701='Oversikt'!$C$6)*('Innmelding'!$B$2:$B$701='Oversikt'!$C$5)*('Innmelding'!$C$2:$C$701=$B15)*('Innmelding'!$D$2:$D$701='Oversikt'!J$8)*'Innmelding'!$H$2:$H$701)))</f>
        <v/>
      </c>
      <c r="V15">
        <f>IF(OR($B15="",'Oversikt'!K$8="",'Oversikt'!$C$6=""),0,SUMPRODUCT(MAX(('Innmelding'!$A$2:$A$701='Oversikt'!$C$6)*('Innmelding'!$B$2:$B$701='Oversikt'!$C$5)*('Innmelding'!$C$2:$C$701=$B15)*('Innmelding'!$D$2:$D$701='Oversikt'!K$8)*'Innmelding'!$H$2:$H$701)))</f>
        <v/>
      </c>
      <c r="W15">
        <f>IF(OR($B15="",'Oversikt'!L$8="",'Oversikt'!$C$6=""),0,SUMPRODUCT(MAX(('Innmelding'!$A$2:$A$701='Oversikt'!$C$6)*('Innmelding'!$B$2:$B$701='Oversikt'!$C$5)*('Innmelding'!$C$2:$C$701=$B15)*('Innmelding'!$D$2:$D$701='Oversikt'!L$8)*'Innmelding'!$H$2:$H$701)))</f>
        <v/>
      </c>
      <c r="X15">
        <f>IF(OR($B15="",'Oversikt'!M$8="",'Oversikt'!$C$6=""),0,SUMPRODUCT(MAX(('Innmelding'!$A$2:$A$701='Oversikt'!$C$6)*('Innmelding'!$B$2:$B$701='Oversikt'!$C$5)*('Innmelding'!$C$2:$C$701=$B15)*('Innmelding'!$D$2:$D$701='Oversikt'!M$8)*'Innmelding'!$H$2:$H$701)))</f>
        <v/>
      </c>
      <c r="Y15">
        <f>IF(OR($B15="",'Oversikt'!N$8="",'Oversikt'!$C$6=""),0,SUMPRODUCT(MAX(('Innmelding'!$A$2:$A$701='Oversikt'!$C$6)*('Innmelding'!$B$2:$B$701='Oversikt'!$C$5)*('Innmelding'!$C$2:$C$701=$B15)*('Innmelding'!$D$2:$D$701='Oversikt'!N$8)*'Innmelding'!$H$2:$H$701)))</f>
        <v/>
      </c>
      <c r="Z15">
        <f>IF(OR($B15="",'Oversikt'!O$8="",'Oversikt'!$C$6=""),0,SUMPRODUCT(MAX(('Innmelding'!$A$2:$A$701='Oversikt'!$C$6)*('Innmelding'!$B$2:$B$701='Oversikt'!$C$5)*('Innmelding'!$C$2:$C$701=$B15)*('Innmelding'!$D$2:$D$701='Oversikt'!O$8)*'Innmelding'!$H$2:$H$701)))</f>
        <v/>
      </c>
      <c r="AA15">
        <f>IF(OR($B15="",'Oversikt'!P$8="",'Oversikt'!$C$6=""),0,SUMPRODUCT(MAX(('Innmelding'!$A$2:$A$701='Oversikt'!$C$6)*('Innmelding'!$B$2:$B$701='Oversikt'!$C$5)*('Innmelding'!$C$2:$C$701=$B15)*('Innmelding'!$D$2:$D$701='Oversikt'!P$8)*'Innmelding'!$H$2:$H$701)))</f>
        <v/>
      </c>
      <c r="AB15">
        <f>IF(OR($B15="",'Oversikt'!Q$8="",'Oversikt'!$C$6=""),0,SUMPRODUCT(MAX(('Innmelding'!$A$2:$A$701='Oversikt'!$C$6)*('Innmelding'!$B$2:$B$701='Oversikt'!$C$5)*('Innmelding'!$C$2:$C$701=$B15)*('Innmelding'!$D$2:$D$701='Oversikt'!Q$8)*'Innmelding'!$H$2:$H$701)))</f>
        <v/>
      </c>
      <c r="AC15">
        <f>IF(OR($B15="",'Oversikt'!F$8=""),0,SUMPRODUCT(('Innmelding'!$A$2:$A$701='Oversikt'!$C$4)*('Innmelding'!$B$2:$B$701='Oversikt'!$C$5)*('Innmelding'!$C$2:$C$701=$B15)*('Innmelding'!$D$2:$D$701='Oversikt'!F$8)*('Innmelding'!$H$2:$H$701&gt;0)))</f>
        <v/>
      </c>
      <c r="AD15">
        <f>IF(OR($B15="",'Oversikt'!G$8=""),0,SUMPRODUCT(('Innmelding'!$A$2:$A$701='Oversikt'!$C$4)*('Innmelding'!$B$2:$B$701='Oversikt'!$C$5)*('Innmelding'!$C$2:$C$701=$B15)*('Innmelding'!$D$2:$D$701='Oversikt'!G$8)*('Innmelding'!$H$2:$H$701&gt;0)))</f>
        <v/>
      </c>
      <c r="AE15">
        <f>IF(OR($B15="",'Oversikt'!H$8=""),0,SUMPRODUCT(('Innmelding'!$A$2:$A$701='Oversikt'!$C$4)*('Innmelding'!$B$2:$B$701='Oversikt'!$C$5)*('Innmelding'!$C$2:$C$701=$B15)*('Innmelding'!$D$2:$D$701='Oversikt'!H$8)*('Innmelding'!$H$2:$H$701&gt;0)))</f>
        <v/>
      </c>
      <c r="AF15">
        <f>IF(OR($B15="",'Oversikt'!I$8=""),0,SUMPRODUCT(('Innmelding'!$A$2:$A$701='Oversikt'!$C$4)*('Innmelding'!$B$2:$B$701='Oversikt'!$C$5)*('Innmelding'!$C$2:$C$701=$B15)*('Innmelding'!$D$2:$D$701='Oversikt'!I$8)*('Innmelding'!$H$2:$H$701&gt;0)))</f>
        <v/>
      </c>
      <c r="AG15">
        <f>IF(OR($B15="",'Oversikt'!J$8=""),0,SUMPRODUCT(('Innmelding'!$A$2:$A$701='Oversikt'!$C$4)*('Innmelding'!$B$2:$B$701='Oversikt'!$C$5)*('Innmelding'!$C$2:$C$701=$B15)*('Innmelding'!$D$2:$D$701='Oversikt'!J$8)*('Innmelding'!$H$2:$H$701&gt;0)))</f>
        <v/>
      </c>
      <c r="AH15">
        <f>IF(OR($B15="",'Oversikt'!K$8=""),0,SUMPRODUCT(('Innmelding'!$A$2:$A$701='Oversikt'!$C$4)*('Innmelding'!$B$2:$B$701='Oversikt'!$C$5)*('Innmelding'!$C$2:$C$701=$B15)*('Innmelding'!$D$2:$D$701='Oversikt'!K$8)*('Innmelding'!$H$2:$H$701&gt;0)))</f>
        <v/>
      </c>
      <c r="AI15">
        <f>IF(OR($B15="",'Oversikt'!L$8=""),0,SUMPRODUCT(('Innmelding'!$A$2:$A$701='Oversikt'!$C$4)*('Innmelding'!$B$2:$B$701='Oversikt'!$C$5)*('Innmelding'!$C$2:$C$701=$B15)*('Innmelding'!$D$2:$D$701='Oversikt'!L$8)*('Innmelding'!$H$2:$H$701&gt;0)))</f>
        <v/>
      </c>
      <c r="AJ15">
        <f>IF(OR($B15="",'Oversikt'!M$8=""),0,SUMPRODUCT(('Innmelding'!$A$2:$A$701='Oversikt'!$C$4)*('Innmelding'!$B$2:$B$701='Oversikt'!$C$5)*('Innmelding'!$C$2:$C$701=$B15)*('Innmelding'!$D$2:$D$701='Oversikt'!M$8)*('Innmelding'!$H$2:$H$701&gt;0)))</f>
        <v/>
      </c>
      <c r="AK15">
        <f>IF(OR($B15="",'Oversikt'!N$8=""),0,SUMPRODUCT(('Innmelding'!$A$2:$A$701='Oversikt'!$C$4)*('Innmelding'!$B$2:$B$701='Oversikt'!$C$5)*('Innmelding'!$C$2:$C$701=$B15)*('Innmelding'!$D$2:$D$701='Oversikt'!N$8)*('Innmelding'!$H$2:$H$701&gt;0)))</f>
        <v/>
      </c>
      <c r="AL15">
        <f>IF(OR($B15="",'Oversikt'!O$8=""),0,SUMPRODUCT(('Innmelding'!$A$2:$A$701='Oversikt'!$C$4)*('Innmelding'!$B$2:$B$701='Oversikt'!$C$5)*('Innmelding'!$C$2:$C$701=$B15)*('Innmelding'!$D$2:$D$701='Oversikt'!O$8)*('Innmelding'!$H$2:$H$701&gt;0)))</f>
        <v/>
      </c>
      <c r="AM15">
        <f>IF(OR($B15="",'Oversikt'!P$8=""),0,SUMPRODUCT(('Innmelding'!$A$2:$A$701='Oversikt'!$C$4)*('Innmelding'!$B$2:$B$701='Oversikt'!$C$5)*('Innmelding'!$C$2:$C$701=$B15)*('Innmelding'!$D$2:$D$701='Oversikt'!P$8)*('Innmelding'!$H$2:$H$701&gt;0)))</f>
        <v/>
      </c>
      <c r="AN15">
        <f>IF(OR($B15="",'Oversikt'!Q$8=""),0,SUMPRODUCT(('Innmelding'!$A$2:$A$701='Oversikt'!$C$4)*('Innmelding'!$B$2:$B$701='Oversikt'!$C$5)*('Innmelding'!$C$2:$C$701=$B15)*('Innmelding'!$D$2:$D$701='Oversikt'!Q$8)*('Innmelding'!$H$2:$H$701&gt;0)))</f>
        <v/>
      </c>
    </row>
    <row r="16">
      <c r="A16" t="n">
        <v>15</v>
      </c>
      <c r="B16">
        <f>IFERROR(INDEX('Elevar'!$A$2:$AZ$41,$A16,MATCH('Oversikt'!$C$5,'Elevar'!$A$1:$AZ$1,0))&amp;"","")</f>
        <v/>
      </c>
      <c r="C16">
        <f>IF($B16="",-1-$A16/1000,COUNTIF($E16:$P16,3)*10000+COUNTIF($E16:$P16,2)*100+COUNTIF($E16:$P16,1)+(100-$A16)/1000)</f>
        <v/>
      </c>
      <c r="D16">
        <f>MATCH(LARGE($C$2:$C$41,$A16),$C$2:$C$41,0)</f>
        <v/>
      </c>
      <c r="E16">
        <f>IF(OR($B16="",'Oversikt'!F$8=""),0,SUMPRODUCT(MAX(('Innmelding'!$A$2:$A$701='Oversikt'!$C$4)*('Innmelding'!$B$2:$B$701='Oversikt'!$C$5)*('Innmelding'!$C$2:$C$701=$B16)*('Innmelding'!$D$2:$D$701='Oversikt'!F$8)*'Innmelding'!$H$2:$H$701)))</f>
        <v/>
      </c>
      <c r="F16">
        <f>IF(OR($B16="",'Oversikt'!G$8=""),0,SUMPRODUCT(MAX(('Innmelding'!$A$2:$A$701='Oversikt'!$C$4)*('Innmelding'!$B$2:$B$701='Oversikt'!$C$5)*('Innmelding'!$C$2:$C$701=$B16)*('Innmelding'!$D$2:$D$701='Oversikt'!G$8)*'Innmelding'!$H$2:$H$701)))</f>
        <v/>
      </c>
      <c r="G16">
        <f>IF(OR($B16="",'Oversikt'!H$8=""),0,SUMPRODUCT(MAX(('Innmelding'!$A$2:$A$701='Oversikt'!$C$4)*('Innmelding'!$B$2:$B$701='Oversikt'!$C$5)*('Innmelding'!$C$2:$C$701=$B16)*('Innmelding'!$D$2:$D$701='Oversikt'!H$8)*'Innmelding'!$H$2:$H$701)))</f>
        <v/>
      </c>
      <c r="H16">
        <f>IF(OR($B16="",'Oversikt'!I$8=""),0,SUMPRODUCT(MAX(('Innmelding'!$A$2:$A$701='Oversikt'!$C$4)*('Innmelding'!$B$2:$B$701='Oversikt'!$C$5)*('Innmelding'!$C$2:$C$701=$B16)*('Innmelding'!$D$2:$D$701='Oversikt'!I$8)*'Innmelding'!$H$2:$H$701)))</f>
        <v/>
      </c>
      <c r="I16">
        <f>IF(OR($B16="",'Oversikt'!J$8=""),0,SUMPRODUCT(MAX(('Innmelding'!$A$2:$A$701='Oversikt'!$C$4)*('Innmelding'!$B$2:$B$701='Oversikt'!$C$5)*('Innmelding'!$C$2:$C$701=$B16)*('Innmelding'!$D$2:$D$701='Oversikt'!J$8)*'Innmelding'!$H$2:$H$701)))</f>
        <v/>
      </c>
      <c r="J16">
        <f>IF(OR($B16="",'Oversikt'!K$8=""),0,SUMPRODUCT(MAX(('Innmelding'!$A$2:$A$701='Oversikt'!$C$4)*('Innmelding'!$B$2:$B$701='Oversikt'!$C$5)*('Innmelding'!$C$2:$C$701=$B16)*('Innmelding'!$D$2:$D$701='Oversikt'!K$8)*'Innmelding'!$H$2:$H$701)))</f>
        <v/>
      </c>
      <c r="K16">
        <f>IF(OR($B16="",'Oversikt'!L$8=""),0,SUMPRODUCT(MAX(('Innmelding'!$A$2:$A$701='Oversikt'!$C$4)*('Innmelding'!$B$2:$B$701='Oversikt'!$C$5)*('Innmelding'!$C$2:$C$701=$B16)*('Innmelding'!$D$2:$D$701='Oversikt'!L$8)*'Innmelding'!$H$2:$H$701)))</f>
        <v/>
      </c>
      <c r="L16">
        <f>IF(OR($B16="",'Oversikt'!M$8=""),0,SUMPRODUCT(MAX(('Innmelding'!$A$2:$A$701='Oversikt'!$C$4)*('Innmelding'!$B$2:$B$701='Oversikt'!$C$5)*('Innmelding'!$C$2:$C$701=$B16)*('Innmelding'!$D$2:$D$701='Oversikt'!M$8)*'Innmelding'!$H$2:$H$701)))</f>
        <v/>
      </c>
      <c r="M16">
        <f>IF(OR($B16="",'Oversikt'!N$8=""),0,SUMPRODUCT(MAX(('Innmelding'!$A$2:$A$701='Oversikt'!$C$4)*('Innmelding'!$B$2:$B$701='Oversikt'!$C$5)*('Innmelding'!$C$2:$C$701=$B16)*('Innmelding'!$D$2:$D$701='Oversikt'!N$8)*'Innmelding'!$H$2:$H$701)))</f>
        <v/>
      </c>
      <c r="N16">
        <f>IF(OR($B16="",'Oversikt'!O$8=""),0,SUMPRODUCT(MAX(('Innmelding'!$A$2:$A$701='Oversikt'!$C$4)*('Innmelding'!$B$2:$B$701='Oversikt'!$C$5)*('Innmelding'!$C$2:$C$701=$B16)*('Innmelding'!$D$2:$D$701='Oversikt'!O$8)*'Innmelding'!$H$2:$H$701)))</f>
        <v/>
      </c>
      <c r="O16">
        <f>IF(OR($B16="",'Oversikt'!P$8=""),0,SUMPRODUCT(MAX(('Innmelding'!$A$2:$A$701='Oversikt'!$C$4)*('Innmelding'!$B$2:$B$701='Oversikt'!$C$5)*('Innmelding'!$C$2:$C$701=$B16)*('Innmelding'!$D$2:$D$701='Oversikt'!P$8)*'Innmelding'!$H$2:$H$701)))</f>
        <v/>
      </c>
      <c r="P16">
        <f>IF(OR($B16="",'Oversikt'!Q$8=""),0,SUMPRODUCT(MAX(('Innmelding'!$A$2:$A$701='Oversikt'!$C$4)*('Innmelding'!$B$2:$B$701='Oversikt'!$C$5)*('Innmelding'!$C$2:$C$701=$B16)*('Innmelding'!$D$2:$D$701='Oversikt'!Q$8)*'Innmelding'!$H$2:$H$701)))</f>
        <v/>
      </c>
      <c r="Q16">
        <f>IF(OR($B16="",'Oversikt'!F$8="",'Oversikt'!$C$6=""),0,SUMPRODUCT(MAX(('Innmelding'!$A$2:$A$701='Oversikt'!$C$6)*('Innmelding'!$B$2:$B$701='Oversikt'!$C$5)*('Innmelding'!$C$2:$C$701=$B16)*('Innmelding'!$D$2:$D$701='Oversikt'!F$8)*'Innmelding'!$H$2:$H$701)))</f>
        <v/>
      </c>
      <c r="R16">
        <f>IF(OR($B16="",'Oversikt'!G$8="",'Oversikt'!$C$6=""),0,SUMPRODUCT(MAX(('Innmelding'!$A$2:$A$701='Oversikt'!$C$6)*('Innmelding'!$B$2:$B$701='Oversikt'!$C$5)*('Innmelding'!$C$2:$C$701=$B16)*('Innmelding'!$D$2:$D$701='Oversikt'!G$8)*'Innmelding'!$H$2:$H$701)))</f>
        <v/>
      </c>
      <c r="S16">
        <f>IF(OR($B16="",'Oversikt'!H$8="",'Oversikt'!$C$6=""),0,SUMPRODUCT(MAX(('Innmelding'!$A$2:$A$701='Oversikt'!$C$6)*('Innmelding'!$B$2:$B$701='Oversikt'!$C$5)*('Innmelding'!$C$2:$C$701=$B16)*('Innmelding'!$D$2:$D$701='Oversikt'!H$8)*'Innmelding'!$H$2:$H$701)))</f>
        <v/>
      </c>
      <c r="T16">
        <f>IF(OR($B16="",'Oversikt'!I$8="",'Oversikt'!$C$6=""),0,SUMPRODUCT(MAX(('Innmelding'!$A$2:$A$701='Oversikt'!$C$6)*('Innmelding'!$B$2:$B$701='Oversikt'!$C$5)*('Innmelding'!$C$2:$C$701=$B16)*('Innmelding'!$D$2:$D$701='Oversikt'!I$8)*'Innmelding'!$H$2:$H$701)))</f>
        <v/>
      </c>
      <c r="U16">
        <f>IF(OR($B16="",'Oversikt'!J$8="",'Oversikt'!$C$6=""),0,SUMPRODUCT(MAX(('Innmelding'!$A$2:$A$701='Oversikt'!$C$6)*('Innmelding'!$B$2:$B$701='Oversikt'!$C$5)*('Innmelding'!$C$2:$C$701=$B16)*('Innmelding'!$D$2:$D$701='Oversikt'!J$8)*'Innmelding'!$H$2:$H$701)))</f>
        <v/>
      </c>
      <c r="V16">
        <f>IF(OR($B16="",'Oversikt'!K$8="",'Oversikt'!$C$6=""),0,SUMPRODUCT(MAX(('Innmelding'!$A$2:$A$701='Oversikt'!$C$6)*('Innmelding'!$B$2:$B$701='Oversikt'!$C$5)*('Innmelding'!$C$2:$C$701=$B16)*('Innmelding'!$D$2:$D$701='Oversikt'!K$8)*'Innmelding'!$H$2:$H$701)))</f>
        <v/>
      </c>
      <c r="W16">
        <f>IF(OR($B16="",'Oversikt'!L$8="",'Oversikt'!$C$6=""),0,SUMPRODUCT(MAX(('Innmelding'!$A$2:$A$701='Oversikt'!$C$6)*('Innmelding'!$B$2:$B$701='Oversikt'!$C$5)*('Innmelding'!$C$2:$C$701=$B16)*('Innmelding'!$D$2:$D$701='Oversikt'!L$8)*'Innmelding'!$H$2:$H$701)))</f>
        <v/>
      </c>
      <c r="X16">
        <f>IF(OR($B16="",'Oversikt'!M$8="",'Oversikt'!$C$6=""),0,SUMPRODUCT(MAX(('Innmelding'!$A$2:$A$701='Oversikt'!$C$6)*('Innmelding'!$B$2:$B$701='Oversikt'!$C$5)*('Innmelding'!$C$2:$C$701=$B16)*('Innmelding'!$D$2:$D$701='Oversikt'!M$8)*'Innmelding'!$H$2:$H$701)))</f>
        <v/>
      </c>
      <c r="Y16">
        <f>IF(OR($B16="",'Oversikt'!N$8="",'Oversikt'!$C$6=""),0,SUMPRODUCT(MAX(('Innmelding'!$A$2:$A$701='Oversikt'!$C$6)*('Innmelding'!$B$2:$B$701='Oversikt'!$C$5)*('Innmelding'!$C$2:$C$701=$B16)*('Innmelding'!$D$2:$D$701='Oversikt'!N$8)*'Innmelding'!$H$2:$H$701)))</f>
        <v/>
      </c>
      <c r="Z16">
        <f>IF(OR($B16="",'Oversikt'!O$8="",'Oversikt'!$C$6=""),0,SUMPRODUCT(MAX(('Innmelding'!$A$2:$A$701='Oversikt'!$C$6)*('Innmelding'!$B$2:$B$701='Oversikt'!$C$5)*('Innmelding'!$C$2:$C$701=$B16)*('Innmelding'!$D$2:$D$701='Oversikt'!O$8)*'Innmelding'!$H$2:$H$701)))</f>
        <v/>
      </c>
      <c r="AA16">
        <f>IF(OR($B16="",'Oversikt'!P$8="",'Oversikt'!$C$6=""),0,SUMPRODUCT(MAX(('Innmelding'!$A$2:$A$701='Oversikt'!$C$6)*('Innmelding'!$B$2:$B$701='Oversikt'!$C$5)*('Innmelding'!$C$2:$C$701=$B16)*('Innmelding'!$D$2:$D$701='Oversikt'!P$8)*'Innmelding'!$H$2:$H$701)))</f>
        <v/>
      </c>
      <c r="AB16">
        <f>IF(OR($B16="",'Oversikt'!Q$8="",'Oversikt'!$C$6=""),0,SUMPRODUCT(MAX(('Innmelding'!$A$2:$A$701='Oversikt'!$C$6)*('Innmelding'!$B$2:$B$701='Oversikt'!$C$5)*('Innmelding'!$C$2:$C$701=$B16)*('Innmelding'!$D$2:$D$701='Oversikt'!Q$8)*'Innmelding'!$H$2:$H$701)))</f>
        <v/>
      </c>
      <c r="AC16">
        <f>IF(OR($B16="",'Oversikt'!F$8=""),0,SUMPRODUCT(('Innmelding'!$A$2:$A$701='Oversikt'!$C$4)*('Innmelding'!$B$2:$B$701='Oversikt'!$C$5)*('Innmelding'!$C$2:$C$701=$B16)*('Innmelding'!$D$2:$D$701='Oversikt'!F$8)*('Innmelding'!$H$2:$H$701&gt;0)))</f>
        <v/>
      </c>
      <c r="AD16">
        <f>IF(OR($B16="",'Oversikt'!G$8=""),0,SUMPRODUCT(('Innmelding'!$A$2:$A$701='Oversikt'!$C$4)*('Innmelding'!$B$2:$B$701='Oversikt'!$C$5)*('Innmelding'!$C$2:$C$701=$B16)*('Innmelding'!$D$2:$D$701='Oversikt'!G$8)*('Innmelding'!$H$2:$H$701&gt;0)))</f>
        <v/>
      </c>
      <c r="AE16">
        <f>IF(OR($B16="",'Oversikt'!H$8=""),0,SUMPRODUCT(('Innmelding'!$A$2:$A$701='Oversikt'!$C$4)*('Innmelding'!$B$2:$B$701='Oversikt'!$C$5)*('Innmelding'!$C$2:$C$701=$B16)*('Innmelding'!$D$2:$D$701='Oversikt'!H$8)*('Innmelding'!$H$2:$H$701&gt;0)))</f>
        <v/>
      </c>
      <c r="AF16">
        <f>IF(OR($B16="",'Oversikt'!I$8=""),0,SUMPRODUCT(('Innmelding'!$A$2:$A$701='Oversikt'!$C$4)*('Innmelding'!$B$2:$B$701='Oversikt'!$C$5)*('Innmelding'!$C$2:$C$701=$B16)*('Innmelding'!$D$2:$D$701='Oversikt'!I$8)*('Innmelding'!$H$2:$H$701&gt;0)))</f>
        <v/>
      </c>
      <c r="AG16">
        <f>IF(OR($B16="",'Oversikt'!J$8=""),0,SUMPRODUCT(('Innmelding'!$A$2:$A$701='Oversikt'!$C$4)*('Innmelding'!$B$2:$B$701='Oversikt'!$C$5)*('Innmelding'!$C$2:$C$701=$B16)*('Innmelding'!$D$2:$D$701='Oversikt'!J$8)*('Innmelding'!$H$2:$H$701&gt;0)))</f>
        <v/>
      </c>
      <c r="AH16">
        <f>IF(OR($B16="",'Oversikt'!K$8=""),0,SUMPRODUCT(('Innmelding'!$A$2:$A$701='Oversikt'!$C$4)*('Innmelding'!$B$2:$B$701='Oversikt'!$C$5)*('Innmelding'!$C$2:$C$701=$B16)*('Innmelding'!$D$2:$D$701='Oversikt'!K$8)*('Innmelding'!$H$2:$H$701&gt;0)))</f>
        <v/>
      </c>
      <c r="AI16">
        <f>IF(OR($B16="",'Oversikt'!L$8=""),0,SUMPRODUCT(('Innmelding'!$A$2:$A$701='Oversikt'!$C$4)*('Innmelding'!$B$2:$B$701='Oversikt'!$C$5)*('Innmelding'!$C$2:$C$701=$B16)*('Innmelding'!$D$2:$D$701='Oversikt'!L$8)*('Innmelding'!$H$2:$H$701&gt;0)))</f>
        <v/>
      </c>
      <c r="AJ16">
        <f>IF(OR($B16="",'Oversikt'!M$8=""),0,SUMPRODUCT(('Innmelding'!$A$2:$A$701='Oversikt'!$C$4)*('Innmelding'!$B$2:$B$701='Oversikt'!$C$5)*('Innmelding'!$C$2:$C$701=$B16)*('Innmelding'!$D$2:$D$701='Oversikt'!M$8)*('Innmelding'!$H$2:$H$701&gt;0)))</f>
        <v/>
      </c>
      <c r="AK16">
        <f>IF(OR($B16="",'Oversikt'!N$8=""),0,SUMPRODUCT(('Innmelding'!$A$2:$A$701='Oversikt'!$C$4)*('Innmelding'!$B$2:$B$701='Oversikt'!$C$5)*('Innmelding'!$C$2:$C$701=$B16)*('Innmelding'!$D$2:$D$701='Oversikt'!N$8)*('Innmelding'!$H$2:$H$701&gt;0)))</f>
        <v/>
      </c>
      <c r="AL16">
        <f>IF(OR($B16="",'Oversikt'!O$8=""),0,SUMPRODUCT(('Innmelding'!$A$2:$A$701='Oversikt'!$C$4)*('Innmelding'!$B$2:$B$701='Oversikt'!$C$5)*('Innmelding'!$C$2:$C$701=$B16)*('Innmelding'!$D$2:$D$701='Oversikt'!O$8)*('Innmelding'!$H$2:$H$701&gt;0)))</f>
        <v/>
      </c>
      <c r="AM16">
        <f>IF(OR($B16="",'Oversikt'!P$8=""),0,SUMPRODUCT(('Innmelding'!$A$2:$A$701='Oversikt'!$C$4)*('Innmelding'!$B$2:$B$701='Oversikt'!$C$5)*('Innmelding'!$C$2:$C$701=$B16)*('Innmelding'!$D$2:$D$701='Oversikt'!P$8)*('Innmelding'!$H$2:$H$701&gt;0)))</f>
        <v/>
      </c>
      <c r="AN16">
        <f>IF(OR($B16="",'Oversikt'!Q$8=""),0,SUMPRODUCT(('Innmelding'!$A$2:$A$701='Oversikt'!$C$4)*('Innmelding'!$B$2:$B$701='Oversikt'!$C$5)*('Innmelding'!$C$2:$C$701=$B16)*('Innmelding'!$D$2:$D$701='Oversikt'!Q$8)*('Innmelding'!$H$2:$H$701&gt;0)))</f>
        <v/>
      </c>
    </row>
    <row r="17">
      <c r="A17" t="n">
        <v>16</v>
      </c>
      <c r="B17">
        <f>IFERROR(INDEX('Elevar'!$A$2:$AZ$41,$A17,MATCH('Oversikt'!$C$5,'Elevar'!$A$1:$AZ$1,0))&amp;"","")</f>
        <v/>
      </c>
      <c r="C17">
        <f>IF($B17="",-1-$A17/1000,COUNTIF($E17:$P17,3)*10000+COUNTIF($E17:$P17,2)*100+COUNTIF($E17:$P17,1)+(100-$A17)/1000)</f>
        <v/>
      </c>
      <c r="D17">
        <f>MATCH(LARGE($C$2:$C$41,$A17),$C$2:$C$41,0)</f>
        <v/>
      </c>
      <c r="E17">
        <f>IF(OR($B17="",'Oversikt'!F$8=""),0,SUMPRODUCT(MAX(('Innmelding'!$A$2:$A$701='Oversikt'!$C$4)*('Innmelding'!$B$2:$B$701='Oversikt'!$C$5)*('Innmelding'!$C$2:$C$701=$B17)*('Innmelding'!$D$2:$D$701='Oversikt'!F$8)*'Innmelding'!$H$2:$H$701)))</f>
        <v/>
      </c>
      <c r="F17">
        <f>IF(OR($B17="",'Oversikt'!G$8=""),0,SUMPRODUCT(MAX(('Innmelding'!$A$2:$A$701='Oversikt'!$C$4)*('Innmelding'!$B$2:$B$701='Oversikt'!$C$5)*('Innmelding'!$C$2:$C$701=$B17)*('Innmelding'!$D$2:$D$701='Oversikt'!G$8)*'Innmelding'!$H$2:$H$701)))</f>
        <v/>
      </c>
      <c r="G17">
        <f>IF(OR($B17="",'Oversikt'!H$8=""),0,SUMPRODUCT(MAX(('Innmelding'!$A$2:$A$701='Oversikt'!$C$4)*('Innmelding'!$B$2:$B$701='Oversikt'!$C$5)*('Innmelding'!$C$2:$C$701=$B17)*('Innmelding'!$D$2:$D$701='Oversikt'!H$8)*'Innmelding'!$H$2:$H$701)))</f>
        <v/>
      </c>
      <c r="H17">
        <f>IF(OR($B17="",'Oversikt'!I$8=""),0,SUMPRODUCT(MAX(('Innmelding'!$A$2:$A$701='Oversikt'!$C$4)*('Innmelding'!$B$2:$B$701='Oversikt'!$C$5)*('Innmelding'!$C$2:$C$701=$B17)*('Innmelding'!$D$2:$D$701='Oversikt'!I$8)*'Innmelding'!$H$2:$H$701)))</f>
        <v/>
      </c>
      <c r="I17">
        <f>IF(OR($B17="",'Oversikt'!J$8=""),0,SUMPRODUCT(MAX(('Innmelding'!$A$2:$A$701='Oversikt'!$C$4)*('Innmelding'!$B$2:$B$701='Oversikt'!$C$5)*('Innmelding'!$C$2:$C$701=$B17)*('Innmelding'!$D$2:$D$701='Oversikt'!J$8)*'Innmelding'!$H$2:$H$701)))</f>
        <v/>
      </c>
      <c r="J17">
        <f>IF(OR($B17="",'Oversikt'!K$8=""),0,SUMPRODUCT(MAX(('Innmelding'!$A$2:$A$701='Oversikt'!$C$4)*('Innmelding'!$B$2:$B$701='Oversikt'!$C$5)*('Innmelding'!$C$2:$C$701=$B17)*('Innmelding'!$D$2:$D$701='Oversikt'!K$8)*'Innmelding'!$H$2:$H$701)))</f>
        <v/>
      </c>
      <c r="K17">
        <f>IF(OR($B17="",'Oversikt'!L$8=""),0,SUMPRODUCT(MAX(('Innmelding'!$A$2:$A$701='Oversikt'!$C$4)*('Innmelding'!$B$2:$B$701='Oversikt'!$C$5)*('Innmelding'!$C$2:$C$701=$B17)*('Innmelding'!$D$2:$D$701='Oversikt'!L$8)*'Innmelding'!$H$2:$H$701)))</f>
        <v/>
      </c>
      <c r="L17">
        <f>IF(OR($B17="",'Oversikt'!M$8=""),0,SUMPRODUCT(MAX(('Innmelding'!$A$2:$A$701='Oversikt'!$C$4)*('Innmelding'!$B$2:$B$701='Oversikt'!$C$5)*('Innmelding'!$C$2:$C$701=$B17)*('Innmelding'!$D$2:$D$701='Oversikt'!M$8)*'Innmelding'!$H$2:$H$701)))</f>
        <v/>
      </c>
      <c r="M17">
        <f>IF(OR($B17="",'Oversikt'!N$8=""),0,SUMPRODUCT(MAX(('Innmelding'!$A$2:$A$701='Oversikt'!$C$4)*('Innmelding'!$B$2:$B$701='Oversikt'!$C$5)*('Innmelding'!$C$2:$C$701=$B17)*('Innmelding'!$D$2:$D$701='Oversikt'!N$8)*'Innmelding'!$H$2:$H$701)))</f>
        <v/>
      </c>
      <c r="N17">
        <f>IF(OR($B17="",'Oversikt'!O$8=""),0,SUMPRODUCT(MAX(('Innmelding'!$A$2:$A$701='Oversikt'!$C$4)*('Innmelding'!$B$2:$B$701='Oversikt'!$C$5)*('Innmelding'!$C$2:$C$701=$B17)*('Innmelding'!$D$2:$D$701='Oversikt'!O$8)*'Innmelding'!$H$2:$H$701)))</f>
        <v/>
      </c>
      <c r="O17">
        <f>IF(OR($B17="",'Oversikt'!P$8=""),0,SUMPRODUCT(MAX(('Innmelding'!$A$2:$A$701='Oversikt'!$C$4)*('Innmelding'!$B$2:$B$701='Oversikt'!$C$5)*('Innmelding'!$C$2:$C$701=$B17)*('Innmelding'!$D$2:$D$701='Oversikt'!P$8)*'Innmelding'!$H$2:$H$701)))</f>
        <v/>
      </c>
      <c r="P17">
        <f>IF(OR($B17="",'Oversikt'!Q$8=""),0,SUMPRODUCT(MAX(('Innmelding'!$A$2:$A$701='Oversikt'!$C$4)*('Innmelding'!$B$2:$B$701='Oversikt'!$C$5)*('Innmelding'!$C$2:$C$701=$B17)*('Innmelding'!$D$2:$D$701='Oversikt'!Q$8)*'Innmelding'!$H$2:$H$701)))</f>
        <v/>
      </c>
      <c r="Q17">
        <f>IF(OR($B17="",'Oversikt'!F$8="",'Oversikt'!$C$6=""),0,SUMPRODUCT(MAX(('Innmelding'!$A$2:$A$701='Oversikt'!$C$6)*('Innmelding'!$B$2:$B$701='Oversikt'!$C$5)*('Innmelding'!$C$2:$C$701=$B17)*('Innmelding'!$D$2:$D$701='Oversikt'!F$8)*'Innmelding'!$H$2:$H$701)))</f>
        <v/>
      </c>
      <c r="R17">
        <f>IF(OR($B17="",'Oversikt'!G$8="",'Oversikt'!$C$6=""),0,SUMPRODUCT(MAX(('Innmelding'!$A$2:$A$701='Oversikt'!$C$6)*('Innmelding'!$B$2:$B$701='Oversikt'!$C$5)*('Innmelding'!$C$2:$C$701=$B17)*('Innmelding'!$D$2:$D$701='Oversikt'!G$8)*'Innmelding'!$H$2:$H$701)))</f>
        <v/>
      </c>
      <c r="S17">
        <f>IF(OR($B17="",'Oversikt'!H$8="",'Oversikt'!$C$6=""),0,SUMPRODUCT(MAX(('Innmelding'!$A$2:$A$701='Oversikt'!$C$6)*('Innmelding'!$B$2:$B$701='Oversikt'!$C$5)*('Innmelding'!$C$2:$C$701=$B17)*('Innmelding'!$D$2:$D$701='Oversikt'!H$8)*'Innmelding'!$H$2:$H$701)))</f>
        <v/>
      </c>
      <c r="T17">
        <f>IF(OR($B17="",'Oversikt'!I$8="",'Oversikt'!$C$6=""),0,SUMPRODUCT(MAX(('Innmelding'!$A$2:$A$701='Oversikt'!$C$6)*('Innmelding'!$B$2:$B$701='Oversikt'!$C$5)*('Innmelding'!$C$2:$C$701=$B17)*('Innmelding'!$D$2:$D$701='Oversikt'!I$8)*'Innmelding'!$H$2:$H$701)))</f>
        <v/>
      </c>
      <c r="U17">
        <f>IF(OR($B17="",'Oversikt'!J$8="",'Oversikt'!$C$6=""),0,SUMPRODUCT(MAX(('Innmelding'!$A$2:$A$701='Oversikt'!$C$6)*('Innmelding'!$B$2:$B$701='Oversikt'!$C$5)*('Innmelding'!$C$2:$C$701=$B17)*('Innmelding'!$D$2:$D$701='Oversikt'!J$8)*'Innmelding'!$H$2:$H$701)))</f>
        <v/>
      </c>
      <c r="V17">
        <f>IF(OR($B17="",'Oversikt'!K$8="",'Oversikt'!$C$6=""),0,SUMPRODUCT(MAX(('Innmelding'!$A$2:$A$701='Oversikt'!$C$6)*('Innmelding'!$B$2:$B$701='Oversikt'!$C$5)*('Innmelding'!$C$2:$C$701=$B17)*('Innmelding'!$D$2:$D$701='Oversikt'!K$8)*'Innmelding'!$H$2:$H$701)))</f>
        <v/>
      </c>
      <c r="W17">
        <f>IF(OR($B17="",'Oversikt'!L$8="",'Oversikt'!$C$6=""),0,SUMPRODUCT(MAX(('Innmelding'!$A$2:$A$701='Oversikt'!$C$6)*('Innmelding'!$B$2:$B$701='Oversikt'!$C$5)*('Innmelding'!$C$2:$C$701=$B17)*('Innmelding'!$D$2:$D$701='Oversikt'!L$8)*'Innmelding'!$H$2:$H$701)))</f>
        <v/>
      </c>
      <c r="X17">
        <f>IF(OR($B17="",'Oversikt'!M$8="",'Oversikt'!$C$6=""),0,SUMPRODUCT(MAX(('Innmelding'!$A$2:$A$701='Oversikt'!$C$6)*('Innmelding'!$B$2:$B$701='Oversikt'!$C$5)*('Innmelding'!$C$2:$C$701=$B17)*('Innmelding'!$D$2:$D$701='Oversikt'!M$8)*'Innmelding'!$H$2:$H$701)))</f>
        <v/>
      </c>
      <c r="Y17">
        <f>IF(OR($B17="",'Oversikt'!N$8="",'Oversikt'!$C$6=""),0,SUMPRODUCT(MAX(('Innmelding'!$A$2:$A$701='Oversikt'!$C$6)*('Innmelding'!$B$2:$B$701='Oversikt'!$C$5)*('Innmelding'!$C$2:$C$701=$B17)*('Innmelding'!$D$2:$D$701='Oversikt'!N$8)*'Innmelding'!$H$2:$H$701)))</f>
        <v/>
      </c>
      <c r="Z17">
        <f>IF(OR($B17="",'Oversikt'!O$8="",'Oversikt'!$C$6=""),0,SUMPRODUCT(MAX(('Innmelding'!$A$2:$A$701='Oversikt'!$C$6)*('Innmelding'!$B$2:$B$701='Oversikt'!$C$5)*('Innmelding'!$C$2:$C$701=$B17)*('Innmelding'!$D$2:$D$701='Oversikt'!O$8)*'Innmelding'!$H$2:$H$701)))</f>
        <v/>
      </c>
      <c r="AA17">
        <f>IF(OR($B17="",'Oversikt'!P$8="",'Oversikt'!$C$6=""),0,SUMPRODUCT(MAX(('Innmelding'!$A$2:$A$701='Oversikt'!$C$6)*('Innmelding'!$B$2:$B$701='Oversikt'!$C$5)*('Innmelding'!$C$2:$C$701=$B17)*('Innmelding'!$D$2:$D$701='Oversikt'!P$8)*'Innmelding'!$H$2:$H$701)))</f>
        <v/>
      </c>
      <c r="AB17">
        <f>IF(OR($B17="",'Oversikt'!Q$8="",'Oversikt'!$C$6=""),0,SUMPRODUCT(MAX(('Innmelding'!$A$2:$A$701='Oversikt'!$C$6)*('Innmelding'!$B$2:$B$701='Oversikt'!$C$5)*('Innmelding'!$C$2:$C$701=$B17)*('Innmelding'!$D$2:$D$701='Oversikt'!Q$8)*'Innmelding'!$H$2:$H$701)))</f>
        <v/>
      </c>
      <c r="AC17">
        <f>IF(OR($B17="",'Oversikt'!F$8=""),0,SUMPRODUCT(('Innmelding'!$A$2:$A$701='Oversikt'!$C$4)*('Innmelding'!$B$2:$B$701='Oversikt'!$C$5)*('Innmelding'!$C$2:$C$701=$B17)*('Innmelding'!$D$2:$D$701='Oversikt'!F$8)*('Innmelding'!$H$2:$H$701&gt;0)))</f>
        <v/>
      </c>
      <c r="AD17">
        <f>IF(OR($B17="",'Oversikt'!G$8=""),0,SUMPRODUCT(('Innmelding'!$A$2:$A$701='Oversikt'!$C$4)*('Innmelding'!$B$2:$B$701='Oversikt'!$C$5)*('Innmelding'!$C$2:$C$701=$B17)*('Innmelding'!$D$2:$D$701='Oversikt'!G$8)*('Innmelding'!$H$2:$H$701&gt;0)))</f>
        <v/>
      </c>
      <c r="AE17">
        <f>IF(OR($B17="",'Oversikt'!H$8=""),0,SUMPRODUCT(('Innmelding'!$A$2:$A$701='Oversikt'!$C$4)*('Innmelding'!$B$2:$B$701='Oversikt'!$C$5)*('Innmelding'!$C$2:$C$701=$B17)*('Innmelding'!$D$2:$D$701='Oversikt'!H$8)*('Innmelding'!$H$2:$H$701&gt;0)))</f>
        <v/>
      </c>
      <c r="AF17">
        <f>IF(OR($B17="",'Oversikt'!I$8=""),0,SUMPRODUCT(('Innmelding'!$A$2:$A$701='Oversikt'!$C$4)*('Innmelding'!$B$2:$B$701='Oversikt'!$C$5)*('Innmelding'!$C$2:$C$701=$B17)*('Innmelding'!$D$2:$D$701='Oversikt'!I$8)*('Innmelding'!$H$2:$H$701&gt;0)))</f>
        <v/>
      </c>
      <c r="AG17">
        <f>IF(OR($B17="",'Oversikt'!J$8=""),0,SUMPRODUCT(('Innmelding'!$A$2:$A$701='Oversikt'!$C$4)*('Innmelding'!$B$2:$B$701='Oversikt'!$C$5)*('Innmelding'!$C$2:$C$701=$B17)*('Innmelding'!$D$2:$D$701='Oversikt'!J$8)*('Innmelding'!$H$2:$H$701&gt;0)))</f>
        <v/>
      </c>
      <c r="AH17">
        <f>IF(OR($B17="",'Oversikt'!K$8=""),0,SUMPRODUCT(('Innmelding'!$A$2:$A$701='Oversikt'!$C$4)*('Innmelding'!$B$2:$B$701='Oversikt'!$C$5)*('Innmelding'!$C$2:$C$701=$B17)*('Innmelding'!$D$2:$D$701='Oversikt'!K$8)*('Innmelding'!$H$2:$H$701&gt;0)))</f>
        <v/>
      </c>
      <c r="AI17">
        <f>IF(OR($B17="",'Oversikt'!L$8=""),0,SUMPRODUCT(('Innmelding'!$A$2:$A$701='Oversikt'!$C$4)*('Innmelding'!$B$2:$B$701='Oversikt'!$C$5)*('Innmelding'!$C$2:$C$701=$B17)*('Innmelding'!$D$2:$D$701='Oversikt'!L$8)*('Innmelding'!$H$2:$H$701&gt;0)))</f>
        <v/>
      </c>
      <c r="AJ17">
        <f>IF(OR($B17="",'Oversikt'!M$8=""),0,SUMPRODUCT(('Innmelding'!$A$2:$A$701='Oversikt'!$C$4)*('Innmelding'!$B$2:$B$701='Oversikt'!$C$5)*('Innmelding'!$C$2:$C$701=$B17)*('Innmelding'!$D$2:$D$701='Oversikt'!M$8)*('Innmelding'!$H$2:$H$701&gt;0)))</f>
        <v/>
      </c>
      <c r="AK17">
        <f>IF(OR($B17="",'Oversikt'!N$8=""),0,SUMPRODUCT(('Innmelding'!$A$2:$A$701='Oversikt'!$C$4)*('Innmelding'!$B$2:$B$701='Oversikt'!$C$5)*('Innmelding'!$C$2:$C$701=$B17)*('Innmelding'!$D$2:$D$701='Oversikt'!N$8)*('Innmelding'!$H$2:$H$701&gt;0)))</f>
        <v/>
      </c>
      <c r="AL17">
        <f>IF(OR($B17="",'Oversikt'!O$8=""),0,SUMPRODUCT(('Innmelding'!$A$2:$A$701='Oversikt'!$C$4)*('Innmelding'!$B$2:$B$701='Oversikt'!$C$5)*('Innmelding'!$C$2:$C$701=$B17)*('Innmelding'!$D$2:$D$701='Oversikt'!O$8)*('Innmelding'!$H$2:$H$701&gt;0)))</f>
        <v/>
      </c>
      <c r="AM17">
        <f>IF(OR($B17="",'Oversikt'!P$8=""),0,SUMPRODUCT(('Innmelding'!$A$2:$A$701='Oversikt'!$C$4)*('Innmelding'!$B$2:$B$701='Oversikt'!$C$5)*('Innmelding'!$C$2:$C$701=$B17)*('Innmelding'!$D$2:$D$701='Oversikt'!P$8)*('Innmelding'!$H$2:$H$701&gt;0)))</f>
        <v/>
      </c>
      <c r="AN17">
        <f>IF(OR($B17="",'Oversikt'!Q$8=""),0,SUMPRODUCT(('Innmelding'!$A$2:$A$701='Oversikt'!$C$4)*('Innmelding'!$B$2:$B$701='Oversikt'!$C$5)*('Innmelding'!$C$2:$C$701=$B17)*('Innmelding'!$D$2:$D$701='Oversikt'!Q$8)*('Innmelding'!$H$2:$H$701&gt;0)))</f>
        <v/>
      </c>
    </row>
    <row r="18">
      <c r="A18" t="n">
        <v>17</v>
      </c>
      <c r="B18">
        <f>IFERROR(INDEX('Elevar'!$A$2:$AZ$41,$A18,MATCH('Oversikt'!$C$5,'Elevar'!$A$1:$AZ$1,0))&amp;"","")</f>
        <v/>
      </c>
      <c r="C18">
        <f>IF($B18="",-1-$A18/1000,COUNTIF($E18:$P18,3)*10000+COUNTIF($E18:$P18,2)*100+COUNTIF($E18:$P18,1)+(100-$A18)/1000)</f>
        <v/>
      </c>
      <c r="D18">
        <f>MATCH(LARGE($C$2:$C$41,$A18),$C$2:$C$41,0)</f>
        <v/>
      </c>
      <c r="E18">
        <f>IF(OR($B18="",'Oversikt'!F$8=""),0,SUMPRODUCT(MAX(('Innmelding'!$A$2:$A$701='Oversikt'!$C$4)*('Innmelding'!$B$2:$B$701='Oversikt'!$C$5)*('Innmelding'!$C$2:$C$701=$B18)*('Innmelding'!$D$2:$D$701='Oversikt'!F$8)*'Innmelding'!$H$2:$H$701)))</f>
        <v/>
      </c>
      <c r="F18">
        <f>IF(OR($B18="",'Oversikt'!G$8=""),0,SUMPRODUCT(MAX(('Innmelding'!$A$2:$A$701='Oversikt'!$C$4)*('Innmelding'!$B$2:$B$701='Oversikt'!$C$5)*('Innmelding'!$C$2:$C$701=$B18)*('Innmelding'!$D$2:$D$701='Oversikt'!G$8)*'Innmelding'!$H$2:$H$701)))</f>
        <v/>
      </c>
      <c r="G18">
        <f>IF(OR($B18="",'Oversikt'!H$8=""),0,SUMPRODUCT(MAX(('Innmelding'!$A$2:$A$701='Oversikt'!$C$4)*('Innmelding'!$B$2:$B$701='Oversikt'!$C$5)*('Innmelding'!$C$2:$C$701=$B18)*('Innmelding'!$D$2:$D$701='Oversikt'!H$8)*'Innmelding'!$H$2:$H$701)))</f>
        <v/>
      </c>
      <c r="H18">
        <f>IF(OR($B18="",'Oversikt'!I$8=""),0,SUMPRODUCT(MAX(('Innmelding'!$A$2:$A$701='Oversikt'!$C$4)*('Innmelding'!$B$2:$B$701='Oversikt'!$C$5)*('Innmelding'!$C$2:$C$701=$B18)*('Innmelding'!$D$2:$D$701='Oversikt'!I$8)*'Innmelding'!$H$2:$H$701)))</f>
        <v/>
      </c>
      <c r="I18">
        <f>IF(OR($B18="",'Oversikt'!J$8=""),0,SUMPRODUCT(MAX(('Innmelding'!$A$2:$A$701='Oversikt'!$C$4)*('Innmelding'!$B$2:$B$701='Oversikt'!$C$5)*('Innmelding'!$C$2:$C$701=$B18)*('Innmelding'!$D$2:$D$701='Oversikt'!J$8)*'Innmelding'!$H$2:$H$701)))</f>
        <v/>
      </c>
      <c r="J18">
        <f>IF(OR($B18="",'Oversikt'!K$8=""),0,SUMPRODUCT(MAX(('Innmelding'!$A$2:$A$701='Oversikt'!$C$4)*('Innmelding'!$B$2:$B$701='Oversikt'!$C$5)*('Innmelding'!$C$2:$C$701=$B18)*('Innmelding'!$D$2:$D$701='Oversikt'!K$8)*'Innmelding'!$H$2:$H$701)))</f>
        <v/>
      </c>
      <c r="K18">
        <f>IF(OR($B18="",'Oversikt'!L$8=""),0,SUMPRODUCT(MAX(('Innmelding'!$A$2:$A$701='Oversikt'!$C$4)*('Innmelding'!$B$2:$B$701='Oversikt'!$C$5)*('Innmelding'!$C$2:$C$701=$B18)*('Innmelding'!$D$2:$D$701='Oversikt'!L$8)*'Innmelding'!$H$2:$H$701)))</f>
        <v/>
      </c>
      <c r="L18">
        <f>IF(OR($B18="",'Oversikt'!M$8=""),0,SUMPRODUCT(MAX(('Innmelding'!$A$2:$A$701='Oversikt'!$C$4)*('Innmelding'!$B$2:$B$701='Oversikt'!$C$5)*('Innmelding'!$C$2:$C$701=$B18)*('Innmelding'!$D$2:$D$701='Oversikt'!M$8)*'Innmelding'!$H$2:$H$701)))</f>
        <v/>
      </c>
      <c r="M18">
        <f>IF(OR($B18="",'Oversikt'!N$8=""),0,SUMPRODUCT(MAX(('Innmelding'!$A$2:$A$701='Oversikt'!$C$4)*('Innmelding'!$B$2:$B$701='Oversikt'!$C$5)*('Innmelding'!$C$2:$C$701=$B18)*('Innmelding'!$D$2:$D$701='Oversikt'!N$8)*'Innmelding'!$H$2:$H$701)))</f>
        <v/>
      </c>
      <c r="N18">
        <f>IF(OR($B18="",'Oversikt'!O$8=""),0,SUMPRODUCT(MAX(('Innmelding'!$A$2:$A$701='Oversikt'!$C$4)*('Innmelding'!$B$2:$B$701='Oversikt'!$C$5)*('Innmelding'!$C$2:$C$701=$B18)*('Innmelding'!$D$2:$D$701='Oversikt'!O$8)*'Innmelding'!$H$2:$H$701)))</f>
        <v/>
      </c>
      <c r="O18">
        <f>IF(OR($B18="",'Oversikt'!P$8=""),0,SUMPRODUCT(MAX(('Innmelding'!$A$2:$A$701='Oversikt'!$C$4)*('Innmelding'!$B$2:$B$701='Oversikt'!$C$5)*('Innmelding'!$C$2:$C$701=$B18)*('Innmelding'!$D$2:$D$701='Oversikt'!P$8)*'Innmelding'!$H$2:$H$701)))</f>
        <v/>
      </c>
      <c r="P18">
        <f>IF(OR($B18="",'Oversikt'!Q$8=""),0,SUMPRODUCT(MAX(('Innmelding'!$A$2:$A$701='Oversikt'!$C$4)*('Innmelding'!$B$2:$B$701='Oversikt'!$C$5)*('Innmelding'!$C$2:$C$701=$B18)*('Innmelding'!$D$2:$D$701='Oversikt'!Q$8)*'Innmelding'!$H$2:$H$701)))</f>
        <v/>
      </c>
      <c r="Q18">
        <f>IF(OR($B18="",'Oversikt'!F$8="",'Oversikt'!$C$6=""),0,SUMPRODUCT(MAX(('Innmelding'!$A$2:$A$701='Oversikt'!$C$6)*('Innmelding'!$B$2:$B$701='Oversikt'!$C$5)*('Innmelding'!$C$2:$C$701=$B18)*('Innmelding'!$D$2:$D$701='Oversikt'!F$8)*'Innmelding'!$H$2:$H$701)))</f>
        <v/>
      </c>
      <c r="R18">
        <f>IF(OR($B18="",'Oversikt'!G$8="",'Oversikt'!$C$6=""),0,SUMPRODUCT(MAX(('Innmelding'!$A$2:$A$701='Oversikt'!$C$6)*('Innmelding'!$B$2:$B$701='Oversikt'!$C$5)*('Innmelding'!$C$2:$C$701=$B18)*('Innmelding'!$D$2:$D$701='Oversikt'!G$8)*'Innmelding'!$H$2:$H$701)))</f>
        <v/>
      </c>
      <c r="S18">
        <f>IF(OR($B18="",'Oversikt'!H$8="",'Oversikt'!$C$6=""),0,SUMPRODUCT(MAX(('Innmelding'!$A$2:$A$701='Oversikt'!$C$6)*('Innmelding'!$B$2:$B$701='Oversikt'!$C$5)*('Innmelding'!$C$2:$C$701=$B18)*('Innmelding'!$D$2:$D$701='Oversikt'!H$8)*'Innmelding'!$H$2:$H$701)))</f>
        <v/>
      </c>
      <c r="T18">
        <f>IF(OR($B18="",'Oversikt'!I$8="",'Oversikt'!$C$6=""),0,SUMPRODUCT(MAX(('Innmelding'!$A$2:$A$701='Oversikt'!$C$6)*('Innmelding'!$B$2:$B$701='Oversikt'!$C$5)*('Innmelding'!$C$2:$C$701=$B18)*('Innmelding'!$D$2:$D$701='Oversikt'!I$8)*'Innmelding'!$H$2:$H$701)))</f>
        <v/>
      </c>
      <c r="U18">
        <f>IF(OR($B18="",'Oversikt'!J$8="",'Oversikt'!$C$6=""),0,SUMPRODUCT(MAX(('Innmelding'!$A$2:$A$701='Oversikt'!$C$6)*('Innmelding'!$B$2:$B$701='Oversikt'!$C$5)*('Innmelding'!$C$2:$C$701=$B18)*('Innmelding'!$D$2:$D$701='Oversikt'!J$8)*'Innmelding'!$H$2:$H$701)))</f>
        <v/>
      </c>
      <c r="V18">
        <f>IF(OR($B18="",'Oversikt'!K$8="",'Oversikt'!$C$6=""),0,SUMPRODUCT(MAX(('Innmelding'!$A$2:$A$701='Oversikt'!$C$6)*('Innmelding'!$B$2:$B$701='Oversikt'!$C$5)*('Innmelding'!$C$2:$C$701=$B18)*('Innmelding'!$D$2:$D$701='Oversikt'!K$8)*'Innmelding'!$H$2:$H$701)))</f>
        <v/>
      </c>
      <c r="W18">
        <f>IF(OR($B18="",'Oversikt'!L$8="",'Oversikt'!$C$6=""),0,SUMPRODUCT(MAX(('Innmelding'!$A$2:$A$701='Oversikt'!$C$6)*('Innmelding'!$B$2:$B$701='Oversikt'!$C$5)*('Innmelding'!$C$2:$C$701=$B18)*('Innmelding'!$D$2:$D$701='Oversikt'!L$8)*'Innmelding'!$H$2:$H$701)))</f>
        <v/>
      </c>
      <c r="X18">
        <f>IF(OR($B18="",'Oversikt'!M$8="",'Oversikt'!$C$6=""),0,SUMPRODUCT(MAX(('Innmelding'!$A$2:$A$701='Oversikt'!$C$6)*('Innmelding'!$B$2:$B$701='Oversikt'!$C$5)*('Innmelding'!$C$2:$C$701=$B18)*('Innmelding'!$D$2:$D$701='Oversikt'!M$8)*'Innmelding'!$H$2:$H$701)))</f>
        <v/>
      </c>
      <c r="Y18">
        <f>IF(OR($B18="",'Oversikt'!N$8="",'Oversikt'!$C$6=""),0,SUMPRODUCT(MAX(('Innmelding'!$A$2:$A$701='Oversikt'!$C$6)*('Innmelding'!$B$2:$B$701='Oversikt'!$C$5)*('Innmelding'!$C$2:$C$701=$B18)*('Innmelding'!$D$2:$D$701='Oversikt'!N$8)*'Innmelding'!$H$2:$H$701)))</f>
        <v/>
      </c>
      <c r="Z18">
        <f>IF(OR($B18="",'Oversikt'!O$8="",'Oversikt'!$C$6=""),0,SUMPRODUCT(MAX(('Innmelding'!$A$2:$A$701='Oversikt'!$C$6)*('Innmelding'!$B$2:$B$701='Oversikt'!$C$5)*('Innmelding'!$C$2:$C$701=$B18)*('Innmelding'!$D$2:$D$701='Oversikt'!O$8)*'Innmelding'!$H$2:$H$701)))</f>
        <v/>
      </c>
      <c r="AA18">
        <f>IF(OR($B18="",'Oversikt'!P$8="",'Oversikt'!$C$6=""),0,SUMPRODUCT(MAX(('Innmelding'!$A$2:$A$701='Oversikt'!$C$6)*('Innmelding'!$B$2:$B$701='Oversikt'!$C$5)*('Innmelding'!$C$2:$C$701=$B18)*('Innmelding'!$D$2:$D$701='Oversikt'!P$8)*'Innmelding'!$H$2:$H$701)))</f>
        <v/>
      </c>
      <c r="AB18">
        <f>IF(OR($B18="",'Oversikt'!Q$8="",'Oversikt'!$C$6=""),0,SUMPRODUCT(MAX(('Innmelding'!$A$2:$A$701='Oversikt'!$C$6)*('Innmelding'!$B$2:$B$701='Oversikt'!$C$5)*('Innmelding'!$C$2:$C$701=$B18)*('Innmelding'!$D$2:$D$701='Oversikt'!Q$8)*'Innmelding'!$H$2:$H$701)))</f>
        <v/>
      </c>
      <c r="AC18">
        <f>IF(OR($B18="",'Oversikt'!F$8=""),0,SUMPRODUCT(('Innmelding'!$A$2:$A$701='Oversikt'!$C$4)*('Innmelding'!$B$2:$B$701='Oversikt'!$C$5)*('Innmelding'!$C$2:$C$701=$B18)*('Innmelding'!$D$2:$D$701='Oversikt'!F$8)*('Innmelding'!$H$2:$H$701&gt;0)))</f>
        <v/>
      </c>
      <c r="AD18">
        <f>IF(OR($B18="",'Oversikt'!G$8=""),0,SUMPRODUCT(('Innmelding'!$A$2:$A$701='Oversikt'!$C$4)*('Innmelding'!$B$2:$B$701='Oversikt'!$C$5)*('Innmelding'!$C$2:$C$701=$B18)*('Innmelding'!$D$2:$D$701='Oversikt'!G$8)*('Innmelding'!$H$2:$H$701&gt;0)))</f>
        <v/>
      </c>
      <c r="AE18">
        <f>IF(OR($B18="",'Oversikt'!H$8=""),0,SUMPRODUCT(('Innmelding'!$A$2:$A$701='Oversikt'!$C$4)*('Innmelding'!$B$2:$B$701='Oversikt'!$C$5)*('Innmelding'!$C$2:$C$701=$B18)*('Innmelding'!$D$2:$D$701='Oversikt'!H$8)*('Innmelding'!$H$2:$H$701&gt;0)))</f>
        <v/>
      </c>
      <c r="AF18">
        <f>IF(OR($B18="",'Oversikt'!I$8=""),0,SUMPRODUCT(('Innmelding'!$A$2:$A$701='Oversikt'!$C$4)*('Innmelding'!$B$2:$B$701='Oversikt'!$C$5)*('Innmelding'!$C$2:$C$701=$B18)*('Innmelding'!$D$2:$D$701='Oversikt'!I$8)*('Innmelding'!$H$2:$H$701&gt;0)))</f>
        <v/>
      </c>
      <c r="AG18">
        <f>IF(OR($B18="",'Oversikt'!J$8=""),0,SUMPRODUCT(('Innmelding'!$A$2:$A$701='Oversikt'!$C$4)*('Innmelding'!$B$2:$B$701='Oversikt'!$C$5)*('Innmelding'!$C$2:$C$701=$B18)*('Innmelding'!$D$2:$D$701='Oversikt'!J$8)*('Innmelding'!$H$2:$H$701&gt;0)))</f>
        <v/>
      </c>
      <c r="AH18">
        <f>IF(OR($B18="",'Oversikt'!K$8=""),0,SUMPRODUCT(('Innmelding'!$A$2:$A$701='Oversikt'!$C$4)*('Innmelding'!$B$2:$B$701='Oversikt'!$C$5)*('Innmelding'!$C$2:$C$701=$B18)*('Innmelding'!$D$2:$D$701='Oversikt'!K$8)*('Innmelding'!$H$2:$H$701&gt;0)))</f>
        <v/>
      </c>
      <c r="AI18">
        <f>IF(OR($B18="",'Oversikt'!L$8=""),0,SUMPRODUCT(('Innmelding'!$A$2:$A$701='Oversikt'!$C$4)*('Innmelding'!$B$2:$B$701='Oversikt'!$C$5)*('Innmelding'!$C$2:$C$701=$B18)*('Innmelding'!$D$2:$D$701='Oversikt'!L$8)*('Innmelding'!$H$2:$H$701&gt;0)))</f>
        <v/>
      </c>
      <c r="AJ18">
        <f>IF(OR($B18="",'Oversikt'!M$8=""),0,SUMPRODUCT(('Innmelding'!$A$2:$A$701='Oversikt'!$C$4)*('Innmelding'!$B$2:$B$701='Oversikt'!$C$5)*('Innmelding'!$C$2:$C$701=$B18)*('Innmelding'!$D$2:$D$701='Oversikt'!M$8)*('Innmelding'!$H$2:$H$701&gt;0)))</f>
        <v/>
      </c>
      <c r="AK18">
        <f>IF(OR($B18="",'Oversikt'!N$8=""),0,SUMPRODUCT(('Innmelding'!$A$2:$A$701='Oversikt'!$C$4)*('Innmelding'!$B$2:$B$701='Oversikt'!$C$5)*('Innmelding'!$C$2:$C$701=$B18)*('Innmelding'!$D$2:$D$701='Oversikt'!N$8)*('Innmelding'!$H$2:$H$701&gt;0)))</f>
        <v/>
      </c>
      <c r="AL18">
        <f>IF(OR($B18="",'Oversikt'!O$8=""),0,SUMPRODUCT(('Innmelding'!$A$2:$A$701='Oversikt'!$C$4)*('Innmelding'!$B$2:$B$701='Oversikt'!$C$5)*('Innmelding'!$C$2:$C$701=$B18)*('Innmelding'!$D$2:$D$701='Oversikt'!O$8)*('Innmelding'!$H$2:$H$701&gt;0)))</f>
        <v/>
      </c>
      <c r="AM18">
        <f>IF(OR($B18="",'Oversikt'!P$8=""),0,SUMPRODUCT(('Innmelding'!$A$2:$A$701='Oversikt'!$C$4)*('Innmelding'!$B$2:$B$701='Oversikt'!$C$5)*('Innmelding'!$C$2:$C$701=$B18)*('Innmelding'!$D$2:$D$701='Oversikt'!P$8)*('Innmelding'!$H$2:$H$701&gt;0)))</f>
        <v/>
      </c>
      <c r="AN18">
        <f>IF(OR($B18="",'Oversikt'!Q$8=""),0,SUMPRODUCT(('Innmelding'!$A$2:$A$701='Oversikt'!$C$4)*('Innmelding'!$B$2:$B$701='Oversikt'!$C$5)*('Innmelding'!$C$2:$C$701=$B18)*('Innmelding'!$D$2:$D$701='Oversikt'!Q$8)*('Innmelding'!$H$2:$H$701&gt;0)))</f>
        <v/>
      </c>
    </row>
    <row r="19">
      <c r="A19" t="n">
        <v>18</v>
      </c>
      <c r="B19">
        <f>IFERROR(INDEX('Elevar'!$A$2:$AZ$41,$A19,MATCH('Oversikt'!$C$5,'Elevar'!$A$1:$AZ$1,0))&amp;"","")</f>
        <v/>
      </c>
      <c r="C19">
        <f>IF($B19="",-1-$A19/1000,COUNTIF($E19:$P19,3)*10000+COUNTIF($E19:$P19,2)*100+COUNTIF($E19:$P19,1)+(100-$A19)/1000)</f>
        <v/>
      </c>
      <c r="D19">
        <f>MATCH(LARGE($C$2:$C$41,$A19),$C$2:$C$41,0)</f>
        <v/>
      </c>
      <c r="E19">
        <f>IF(OR($B19="",'Oversikt'!F$8=""),0,SUMPRODUCT(MAX(('Innmelding'!$A$2:$A$701='Oversikt'!$C$4)*('Innmelding'!$B$2:$B$701='Oversikt'!$C$5)*('Innmelding'!$C$2:$C$701=$B19)*('Innmelding'!$D$2:$D$701='Oversikt'!F$8)*'Innmelding'!$H$2:$H$701)))</f>
        <v/>
      </c>
      <c r="F19">
        <f>IF(OR($B19="",'Oversikt'!G$8=""),0,SUMPRODUCT(MAX(('Innmelding'!$A$2:$A$701='Oversikt'!$C$4)*('Innmelding'!$B$2:$B$701='Oversikt'!$C$5)*('Innmelding'!$C$2:$C$701=$B19)*('Innmelding'!$D$2:$D$701='Oversikt'!G$8)*'Innmelding'!$H$2:$H$701)))</f>
        <v/>
      </c>
      <c r="G19">
        <f>IF(OR($B19="",'Oversikt'!H$8=""),0,SUMPRODUCT(MAX(('Innmelding'!$A$2:$A$701='Oversikt'!$C$4)*('Innmelding'!$B$2:$B$701='Oversikt'!$C$5)*('Innmelding'!$C$2:$C$701=$B19)*('Innmelding'!$D$2:$D$701='Oversikt'!H$8)*'Innmelding'!$H$2:$H$701)))</f>
        <v/>
      </c>
      <c r="H19">
        <f>IF(OR($B19="",'Oversikt'!I$8=""),0,SUMPRODUCT(MAX(('Innmelding'!$A$2:$A$701='Oversikt'!$C$4)*('Innmelding'!$B$2:$B$701='Oversikt'!$C$5)*('Innmelding'!$C$2:$C$701=$B19)*('Innmelding'!$D$2:$D$701='Oversikt'!I$8)*'Innmelding'!$H$2:$H$701)))</f>
        <v/>
      </c>
      <c r="I19">
        <f>IF(OR($B19="",'Oversikt'!J$8=""),0,SUMPRODUCT(MAX(('Innmelding'!$A$2:$A$701='Oversikt'!$C$4)*('Innmelding'!$B$2:$B$701='Oversikt'!$C$5)*('Innmelding'!$C$2:$C$701=$B19)*('Innmelding'!$D$2:$D$701='Oversikt'!J$8)*'Innmelding'!$H$2:$H$701)))</f>
        <v/>
      </c>
      <c r="J19">
        <f>IF(OR($B19="",'Oversikt'!K$8=""),0,SUMPRODUCT(MAX(('Innmelding'!$A$2:$A$701='Oversikt'!$C$4)*('Innmelding'!$B$2:$B$701='Oversikt'!$C$5)*('Innmelding'!$C$2:$C$701=$B19)*('Innmelding'!$D$2:$D$701='Oversikt'!K$8)*'Innmelding'!$H$2:$H$701)))</f>
        <v/>
      </c>
      <c r="K19">
        <f>IF(OR($B19="",'Oversikt'!L$8=""),0,SUMPRODUCT(MAX(('Innmelding'!$A$2:$A$701='Oversikt'!$C$4)*('Innmelding'!$B$2:$B$701='Oversikt'!$C$5)*('Innmelding'!$C$2:$C$701=$B19)*('Innmelding'!$D$2:$D$701='Oversikt'!L$8)*'Innmelding'!$H$2:$H$701)))</f>
        <v/>
      </c>
      <c r="L19">
        <f>IF(OR($B19="",'Oversikt'!M$8=""),0,SUMPRODUCT(MAX(('Innmelding'!$A$2:$A$701='Oversikt'!$C$4)*('Innmelding'!$B$2:$B$701='Oversikt'!$C$5)*('Innmelding'!$C$2:$C$701=$B19)*('Innmelding'!$D$2:$D$701='Oversikt'!M$8)*'Innmelding'!$H$2:$H$701)))</f>
        <v/>
      </c>
      <c r="M19">
        <f>IF(OR($B19="",'Oversikt'!N$8=""),0,SUMPRODUCT(MAX(('Innmelding'!$A$2:$A$701='Oversikt'!$C$4)*('Innmelding'!$B$2:$B$701='Oversikt'!$C$5)*('Innmelding'!$C$2:$C$701=$B19)*('Innmelding'!$D$2:$D$701='Oversikt'!N$8)*'Innmelding'!$H$2:$H$701)))</f>
        <v/>
      </c>
      <c r="N19">
        <f>IF(OR($B19="",'Oversikt'!O$8=""),0,SUMPRODUCT(MAX(('Innmelding'!$A$2:$A$701='Oversikt'!$C$4)*('Innmelding'!$B$2:$B$701='Oversikt'!$C$5)*('Innmelding'!$C$2:$C$701=$B19)*('Innmelding'!$D$2:$D$701='Oversikt'!O$8)*'Innmelding'!$H$2:$H$701)))</f>
        <v/>
      </c>
      <c r="O19">
        <f>IF(OR($B19="",'Oversikt'!P$8=""),0,SUMPRODUCT(MAX(('Innmelding'!$A$2:$A$701='Oversikt'!$C$4)*('Innmelding'!$B$2:$B$701='Oversikt'!$C$5)*('Innmelding'!$C$2:$C$701=$B19)*('Innmelding'!$D$2:$D$701='Oversikt'!P$8)*'Innmelding'!$H$2:$H$701)))</f>
        <v/>
      </c>
      <c r="P19">
        <f>IF(OR($B19="",'Oversikt'!Q$8=""),0,SUMPRODUCT(MAX(('Innmelding'!$A$2:$A$701='Oversikt'!$C$4)*('Innmelding'!$B$2:$B$701='Oversikt'!$C$5)*('Innmelding'!$C$2:$C$701=$B19)*('Innmelding'!$D$2:$D$701='Oversikt'!Q$8)*'Innmelding'!$H$2:$H$701)))</f>
        <v/>
      </c>
      <c r="Q19">
        <f>IF(OR($B19="",'Oversikt'!F$8="",'Oversikt'!$C$6=""),0,SUMPRODUCT(MAX(('Innmelding'!$A$2:$A$701='Oversikt'!$C$6)*('Innmelding'!$B$2:$B$701='Oversikt'!$C$5)*('Innmelding'!$C$2:$C$701=$B19)*('Innmelding'!$D$2:$D$701='Oversikt'!F$8)*'Innmelding'!$H$2:$H$701)))</f>
        <v/>
      </c>
      <c r="R19">
        <f>IF(OR($B19="",'Oversikt'!G$8="",'Oversikt'!$C$6=""),0,SUMPRODUCT(MAX(('Innmelding'!$A$2:$A$701='Oversikt'!$C$6)*('Innmelding'!$B$2:$B$701='Oversikt'!$C$5)*('Innmelding'!$C$2:$C$701=$B19)*('Innmelding'!$D$2:$D$701='Oversikt'!G$8)*'Innmelding'!$H$2:$H$701)))</f>
        <v/>
      </c>
      <c r="S19">
        <f>IF(OR($B19="",'Oversikt'!H$8="",'Oversikt'!$C$6=""),0,SUMPRODUCT(MAX(('Innmelding'!$A$2:$A$701='Oversikt'!$C$6)*('Innmelding'!$B$2:$B$701='Oversikt'!$C$5)*('Innmelding'!$C$2:$C$701=$B19)*('Innmelding'!$D$2:$D$701='Oversikt'!H$8)*'Innmelding'!$H$2:$H$701)))</f>
        <v/>
      </c>
      <c r="T19">
        <f>IF(OR($B19="",'Oversikt'!I$8="",'Oversikt'!$C$6=""),0,SUMPRODUCT(MAX(('Innmelding'!$A$2:$A$701='Oversikt'!$C$6)*('Innmelding'!$B$2:$B$701='Oversikt'!$C$5)*('Innmelding'!$C$2:$C$701=$B19)*('Innmelding'!$D$2:$D$701='Oversikt'!I$8)*'Innmelding'!$H$2:$H$701)))</f>
        <v/>
      </c>
      <c r="U19">
        <f>IF(OR($B19="",'Oversikt'!J$8="",'Oversikt'!$C$6=""),0,SUMPRODUCT(MAX(('Innmelding'!$A$2:$A$701='Oversikt'!$C$6)*('Innmelding'!$B$2:$B$701='Oversikt'!$C$5)*('Innmelding'!$C$2:$C$701=$B19)*('Innmelding'!$D$2:$D$701='Oversikt'!J$8)*'Innmelding'!$H$2:$H$701)))</f>
        <v/>
      </c>
      <c r="V19">
        <f>IF(OR($B19="",'Oversikt'!K$8="",'Oversikt'!$C$6=""),0,SUMPRODUCT(MAX(('Innmelding'!$A$2:$A$701='Oversikt'!$C$6)*('Innmelding'!$B$2:$B$701='Oversikt'!$C$5)*('Innmelding'!$C$2:$C$701=$B19)*('Innmelding'!$D$2:$D$701='Oversikt'!K$8)*'Innmelding'!$H$2:$H$701)))</f>
        <v/>
      </c>
      <c r="W19">
        <f>IF(OR($B19="",'Oversikt'!L$8="",'Oversikt'!$C$6=""),0,SUMPRODUCT(MAX(('Innmelding'!$A$2:$A$701='Oversikt'!$C$6)*('Innmelding'!$B$2:$B$701='Oversikt'!$C$5)*('Innmelding'!$C$2:$C$701=$B19)*('Innmelding'!$D$2:$D$701='Oversikt'!L$8)*'Innmelding'!$H$2:$H$701)))</f>
        <v/>
      </c>
      <c r="X19">
        <f>IF(OR($B19="",'Oversikt'!M$8="",'Oversikt'!$C$6=""),0,SUMPRODUCT(MAX(('Innmelding'!$A$2:$A$701='Oversikt'!$C$6)*('Innmelding'!$B$2:$B$701='Oversikt'!$C$5)*('Innmelding'!$C$2:$C$701=$B19)*('Innmelding'!$D$2:$D$701='Oversikt'!M$8)*'Innmelding'!$H$2:$H$701)))</f>
        <v/>
      </c>
      <c r="Y19">
        <f>IF(OR($B19="",'Oversikt'!N$8="",'Oversikt'!$C$6=""),0,SUMPRODUCT(MAX(('Innmelding'!$A$2:$A$701='Oversikt'!$C$6)*('Innmelding'!$B$2:$B$701='Oversikt'!$C$5)*('Innmelding'!$C$2:$C$701=$B19)*('Innmelding'!$D$2:$D$701='Oversikt'!N$8)*'Innmelding'!$H$2:$H$701)))</f>
        <v/>
      </c>
      <c r="Z19">
        <f>IF(OR($B19="",'Oversikt'!O$8="",'Oversikt'!$C$6=""),0,SUMPRODUCT(MAX(('Innmelding'!$A$2:$A$701='Oversikt'!$C$6)*('Innmelding'!$B$2:$B$701='Oversikt'!$C$5)*('Innmelding'!$C$2:$C$701=$B19)*('Innmelding'!$D$2:$D$701='Oversikt'!O$8)*'Innmelding'!$H$2:$H$701)))</f>
        <v/>
      </c>
      <c r="AA19">
        <f>IF(OR($B19="",'Oversikt'!P$8="",'Oversikt'!$C$6=""),0,SUMPRODUCT(MAX(('Innmelding'!$A$2:$A$701='Oversikt'!$C$6)*('Innmelding'!$B$2:$B$701='Oversikt'!$C$5)*('Innmelding'!$C$2:$C$701=$B19)*('Innmelding'!$D$2:$D$701='Oversikt'!P$8)*'Innmelding'!$H$2:$H$701)))</f>
        <v/>
      </c>
      <c r="AB19">
        <f>IF(OR($B19="",'Oversikt'!Q$8="",'Oversikt'!$C$6=""),0,SUMPRODUCT(MAX(('Innmelding'!$A$2:$A$701='Oversikt'!$C$6)*('Innmelding'!$B$2:$B$701='Oversikt'!$C$5)*('Innmelding'!$C$2:$C$701=$B19)*('Innmelding'!$D$2:$D$701='Oversikt'!Q$8)*'Innmelding'!$H$2:$H$701)))</f>
        <v/>
      </c>
      <c r="AC19">
        <f>IF(OR($B19="",'Oversikt'!F$8=""),0,SUMPRODUCT(('Innmelding'!$A$2:$A$701='Oversikt'!$C$4)*('Innmelding'!$B$2:$B$701='Oversikt'!$C$5)*('Innmelding'!$C$2:$C$701=$B19)*('Innmelding'!$D$2:$D$701='Oversikt'!F$8)*('Innmelding'!$H$2:$H$701&gt;0)))</f>
        <v/>
      </c>
      <c r="AD19">
        <f>IF(OR($B19="",'Oversikt'!G$8=""),0,SUMPRODUCT(('Innmelding'!$A$2:$A$701='Oversikt'!$C$4)*('Innmelding'!$B$2:$B$701='Oversikt'!$C$5)*('Innmelding'!$C$2:$C$701=$B19)*('Innmelding'!$D$2:$D$701='Oversikt'!G$8)*('Innmelding'!$H$2:$H$701&gt;0)))</f>
        <v/>
      </c>
      <c r="AE19">
        <f>IF(OR($B19="",'Oversikt'!H$8=""),0,SUMPRODUCT(('Innmelding'!$A$2:$A$701='Oversikt'!$C$4)*('Innmelding'!$B$2:$B$701='Oversikt'!$C$5)*('Innmelding'!$C$2:$C$701=$B19)*('Innmelding'!$D$2:$D$701='Oversikt'!H$8)*('Innmelding'!$H$2:$H$701&gt;0)))</f>
        <v/>
      </c>
      <c r="AF19">
        <f>IF(OR($B19="",'Oversikt'!I$8=""),0,SUMPRODUCT(('Innmelding'!$A$2:$A$701='Oversikt'!$C$4)*('Innmelding'!$B$2:$B$701='Oversikt'!$C$5)*('Innmelding'!$C$2:$C$701=$B19)*('Innmelding'!$D$2:$D$701='Oversikt'!I$8)*('Innmelding'!$H$2:$H$701&gt;0)))</f>
        <v/>
      </c>
      <c r="AG19">
        <f>IF(OR($B19="",'Oversikt'!J$8=""),0,SUMPRODUCT(('Innmelding'!$A$2:$A$701='Oversikt'!$C$4)*('Innmelding'!$B$2:$B$701='Oversikt'!$C$5)*('Innmelding'!$C$2:$C$701=$B19)*('Innmelding'!$D$2:$D$701='Oversikt'!J$8)*('Innmelding'!$H$2:$H$701&gt;0)))</f>
        <v/>
      </c>
      <c r="AH19">
        <f>IF(OR($B19="",'Oversikt'!K$8=""),0,SUMPRODUCT(('Innmelding'!$A$2:$A$701='Oversikt'!$C$4)*('Innmelding'!$B$2:$B$701='Oversikt'!$C$5)*('Innmelding'!$C$2:$C$701=$B19)*('Innmelding'!$D$2:$D$701='Oversikt'!K$8)*('Innmelding'!$H$2:$H$701&gt;0)))</f>
        <v/>
      </c>
      <c r="AI19">
        <f>IF(OR($B19="",'Oversikt'!L$8=""),0,SUMPRODUCT(('Innmelding'!$A$2:$A$701='Oversikt'!$C$4)*('Innmelding'!$B$2:$B$701='Oversikt'!$C$5)*('Innmelding'!$C$2:$C$701=$B19)*('Innmelding'!$D$2:$D$701='Oversikt'!L$8)*('Innmelding'!$H$2:$H$701&gt;0)))</f>
        <v/>
      </c>
      <c r="AJ19">
        <f>IF(OR($B19="",'Oversikt'!M$8=""),0,SUMPRODUCT(('Innmelding'!$A$2:$A$701='Oversikt'!$C$4)*('Innmelding'!$B$2:$B$701='Oversikt'!$C$5)*('Innmelding'!$C$2:$C$701=$B19)*('Innmelding'!$D$2:$D$701='Oversikt'!M$8)*('Innmelding'!$H$2:$H$701&gt;0)))</f>
        <v/>
      </c>
      <c r="AK19">
        <f>IF(OR($B19="",'Oversikt'!N$8=""),0,SUMPRODUCT(('Innmelding'!$A$2:$A$701='Oversikt'!$C$4)*('Innmelding'!$B$2:$B$701='Oversikt'!$C$5)*('Innmelding'!$C$2:$C$701=$B19)*('Innmelding'!$D$2:$D$701='Oversikt'!N$8)*('Innmelding'!$H$2:$H$701&gt;0)))</f>
        <v/>
      </c>
      <c r="AL19">
        <f>IF(OR($B19="",'Oversikt'!O$8=""),0,SUMPRODUCT(('Innmelding'!$A$2:$A$701='Oversikt'!$C$4)*('Innmelding'!$B$2:$B$701='Oversikt'!$C$5)*('Innmelding'!$C$2:$C$701=$B19)*('Innmelding'!$D$2:$D$701='Oversikt'!O$8)*('Innmelding'!$H$2:$H$701&gt;0)))</f>
        <v/>
      </c>
      <c r="AM19">
        <f>IF(OR($B19="",'Oversikt'!P$8=""),0,SUMPRODUCT(('Innmelding'!$A$2:$A$701='Oversikt'!$C$4)*('Innmelding'!$B$2:$B$701='Oversikt'!$C$5)*('Innmelding'!$C$2:$C$701=$B19)*('Innmelding'!$D$2:$D$701='Oversikt'!P$8)*('Innmelding'!$H$2:$H$701&gt;0)))</f>
        <v/>
      </c>
      <c r="AN19">
        <f>IF(OR($B19="",'Oversikt'!Q$8=""),0,SUMPRODUCT(('Innmelding'!$A$2:$A$701='Oversikt'!$C$4)*('Innmelding'!$B$2:$B$701='Oversikt'!$C$5)*('Innmelding'!$C$2:$C$701=$B19)*('Innmelding'!$D$2:$D$701='Oversikt'!Q$8)*('Innmelding'!$H$2:$H$701&gt;0)))</f>
        <v/>
      </c>
    </row>
    <row r="20">
      <c r="A20" t="n">
        <v>19</v>
      </c>
      <c r="B20">
        <f>IFERROR(INDEX('Elevar'!$A$2:$AZ$41,$A20,MATCH('Oversikt'!$C$5,'Elevar'!$A$1:$AZ$1,0))&amp;"","")</f>
        <v/>
      </c>
      <c r="C20">
        <f>IF($B20="",-1-$A20/1000,COUNTIF($E20:$P20,3)*10000+COUNTIF($E20:$P20,2)*100+COUNTIF($E20:$P20,1)+(100-$A20)/1000)</f>
        <v/>
      </c>
      <c r="D20">
        <f>MATCH(LARGE($C$2:$C$41,$A20),$C$2:$C$41,0)</f>
        <v/>
      </c>
      <c r="E20">
        <f>IF(OR($B20="",'Oversikt'!F$8=""),0,SUMPRODUCT(MAX(('Innmelding'!$A$2:$A$701='Oversikt'!$C$4)*('Innmelding'!$B$2:$B$701='Oversikt'!$C$5)*('Innmelding'!$C$2:$C$701=$B20)*('Innmelding'!$D$2:$D$701='Oversikt'!F$8)*'Innmelding'!$H$2:$H$701)))</f>
        <v/>
      </c>
      <c r="F20">
        <f>IF(OR($B20="",'Oversikt'!G$8=""),0,SUMPRODUCT(MAX(('Innmelding'!$A$2:$A$701='Oversikt'!$C$4)*('Innmelding'!$B$2:$B$701='Oversikt'!$C$5)*('Innmelding'!$C$2:$C$701=$B20)*('Innmelding'!$D$2:$D$701='Oversikt'!G$8)*'Innmelding'!$H$2:$H$701)))</f>
        <v/>
      </c>
      <c r="G20">
        <f>IF(OR($B20="",'Oversikt'!H$8=""),0,SUMPRODUCT(MAX(('Innmelding'!$A$2:$A$701='Oversikt'!$C$4)*('Innmelding'!$B$2:$B$701='Oversikt'!$C$5)*('Innmelding'!$C$2:$C$701=$B20)*('Innmelding'!$D$2:$D$701='Oversikt'!H$8)*'Innmelding'!$H$2:$H$701)))</f>
        <v/>
      </c>
      <c r="H20">
        <f>IF(OR($B20="",'Oversikt'!I$8=""),0,SUMPRODUCT(MAX(('Innmelding'!$A$2:$A$701='Oversikt'!$C$4)*('Innmelding'!$B$2:$B$701='Oversikt'!$C$5)*('Innmelding'!$C$2:$C$701=$B20)*('Innmelding'!$D$2:$D$701='Oversikt'!I$8)*'Innmelding'!$H$2:$H$701)))</f>
        <v/>
      </c>
      <c r="I20">
        <f>IF(OR($B20="",'Oversikt'!J$8=""),0,SUMPRODUCT(MAX(('Innmelding'!$A$2:$A$701='Oversikt'!$C$4)*('Innmelding'!$B$2:$B$701='Oversikt'!$C$5)*('Innmelding'!$C$2:$C$701=$B20)*('Innmelding'!$D$2:$D$701='Oversikt'!J$8)*'Innmelding'!$H$2:$H$701)))</f>
        <v/>
      </c>
      <c r="J20">
        <f>IF(OR($B20="",'Oversikt'!K$8=""),0,SUMPRODUCT(MAX(('Innmelding'!$A$2:$A$701='Oversikt'!$C$4)*('Innmelding'!$B$2:$B$701='Oversikt'!$C$5)*('Innmelding'!$C$2:$C$701=$B20)*('Innmelding'!$D$2:$D$701='Oversikt'!K$8)*'Innmelding'!$H$2:$H$701)))</f>
        <v/>
      </c>
      <c r="K20">
        <f>IF(OR($B20="",'Oversikt'!L$8=""),0,SUMPRODUCT(MAX(('Innmelding'!$A$2:$A$701='Oversikt'!$C$4)*('Innmelding'!$B$2:$B$701='Oversikt'!$C$5)*('Innmelding'!$C$2:$C$701=$B20)*('Innmelding'!$D$2:$D$701='Oversikt'!L$8)*'Innmelding'!$H$2:$H$701)))</f>
        <v/>
      </c>
      <c r="L20">
        <f>IF(OR($B20="",'Oversikt'!M$8=""),0,SUMPRODUCT(MAX(('Innmelding'!$A$2:$A$701='Oversikt'!$C$4)*('Innmelding'!$B$2:$B$701='Oversikt'!$C$5)*('Innmelding'!$C$2:$C$701=$B20)*('Innmelding'!$D$2:$D$701='Oversikt'!M$8)*'Innmelding'!$H$2:$H$701)))</f>
        <v/>
      </c>
      <c r="M20">
        <f>IF(OR($B20="",'Oversikt'!N$8=""),0,SUMPRODUCT(MAX(('Innmelding'!$A$2:$A$701='Oversikt'!$C$4)*('Innmelding'!$B$2:$B$701='Oversikt'!$C$5)*('Innmelding'!$C$2:$C$701=$B20)*('Innmelding'!$D$2:$D$701='Oversikt'!N$8)*'Innmelding'!$H$2:$H$701)))</f>
        <v/>
      </c>
      <c r="N20">
        <f>IF(OR($B20="",'Oversikt'!O$8=""),0,SUMPRODUCT(MAX(('Innmelding'!$A$2:$A$701='Oversikt'!$C$4)*('Innmelding'!$B$2:$B$701='Oversikt'!$C$5)*('Innmelding'!$C$2:$C$701=$B20)*('Innmelding'!$D$2:$D$701='Oversikt'!O$8)*'Innmelding'!$H$2:$H$701)))</f>
        <v/>
      </c>
      <c r="O20">
        <f>IF(OR($B20="",'Oversikt'!P$8=""),0,SUMPRODUCT(MAX(('Innmelding'!$A$2:$A$701='Oversikt'!$C$4)*('Innmelding'!$B$2:$B$701='Oversikt'!$C$5)*('Innmelding'!$C$2:$C$701=$B20)*('Innmelding'!$D$2:$D$701='Oversikt'!P$8)*'Innmelding'!$H$2:$H$701)))</f>
        <v/>
      </c>
      <c r="P20">
        <f>IF(OR($B20="",'Oversikt'!Q$8=""),0,SUMPRODUCT(MAX(('Innmelding'!$A$2:$A$701='Oversikt'!$C$4)*('Innmelding'!$B$2:$B$701='Oversikt'!$C$5)*('Innmelding'!$C$2:$C$701=$B20)*('Innmelding'!$D$2:$D$701='Oversikt'!Q$8)*'Innmelding'!$H$2:$H$701)))</f>
        <v/>
      </c>
      <c r="Q20">
        <f>IF(OR($B20="",'Oversikt'!F$8="",'Oversikt'!$C$6=""),0,SUMPRODUCT(MAX(('Innmelding'!$A$2:$A$701='Oversikt'!$C$6)*('Innmelding'!$B$2:$B$701='Oversikt'!$C$5)*('Innmelding'!$C$2:$C$701=$B20)*('Innmelding'!$D$2:$D$701='Oversikt'!F$8)*'Innmelding'!$H$2:$H$701)))</f>
        <v/>
      </c>
      <c r="R20">
        <f>IF(OR($B20="",'Oversikt'!G$8="",'Oversikt'!$C$6=""),0,SUMPRODUCT(MAX(('Innmelding'!$A$2:$A$701='Oversikt'!$C$6)*('Innmelding'!$B$2:$B$701='Oversikt'!$C$5)*('Innmelding'!$C$2:$C$701=$B20)*('Innmelding'!$D$2:$D$701='Oversikt'!G$8)*'Innmelding'!$H$2:$H$701)))</f>
        <v/>
      </c>
      <c r="S20">
        <f>IF(OR($B20="",'Oversikt'!H$8="",'Oversikt'!$C$6=""),0,SUMPRODUCT(MAX(('Innmelding'!$A$2:$A$701='Oversikt'!$C$6)*('Innmelding'!$B$2:$B$701='Oversikt'!$C$5)*('Innmelding'!$C$2:$C$701=$B20)*('Innmelding'!$D$2:$D$701='Oversikt'!H$8)*'Innmelding'!$H$2:$H$701)))</f>
        <v/>
      </c>
      <c r="T20">
        <f>IF(OR($B20="",'Oversikt'!I$8="",'Oversikt'!$C$6=""),0,SUMPRODUCT(MAX(('Innmelding'!$A$2:$A$701='Oversikt'!$C$6)*('Innmelding'!$B$2:$B$701='Oversikt'!$C$5)*('Innmelding'!$C$2:$C$701=$B20)*('Innmelding'!$D$2:$D$701='Oversikt'!I$8)*'Innmelding'!$H$2:$H$701)))</f>
        <v/>
      </c>
      <c r="U20">
        <f>IF(OR($B20="",'Oversikt'!J$8="",'Oversikt'!$C$6=""),0,SUMPRODUCT(MAX(('Innmelding'!$A$2:$A$701='Oversikt'!$C$6)*('Innmelding'!$B$2:$B$701='Oversikt'!$C$5)*('Innmelding'!$C$2:$C$701=$B20)*('Innmelding'!$D$2:$D$701='Oversikt'!J$8)*'Innmelding'!$H$2:$H$701)))</f>
        <v/>
      </c>
      <c r="V20">
        <f>IF(OR($B20="",'Oversikt'!K$8="",'Oversikt'!$C$6=""),0,SUMPRODUCT(MAX(('Innmelding'!$A$2:$A$701='Oversikt'!$C$6)*('Innmelding'!$B$2:$B$701='Oversikt'!$C$5)*('Innmelding'!$C$2:$C$701=$B20)*('Innmelding'!$D$2:$D$701='Oversikt'!K$8)*'Innmelding'!$H$2:$H$701)))</f>
        <v/>
      </c>
      <c r="W20">
        <f>IF(OR($B20="",'Oversikt'!L$8="",'Oversikt'!$C$6=""),0,SUMPRODUCT(MAX(('Innmelding'!$A$2:$A$701='Oversikt'!$C$6)*('Innmelding'!$B$2:$B$701='Oversikt'!$C$5)*('Innmelding'!$C$2:$C$701=$B20)*('Innmelding'!$D$2:$D$701='Oversikt'!L$8)*'Innmelding'!$H$2:$H$701)))</f>
        <v/>
      </c>
      <c r="X20">
        <f>IF(OR($B20="",'Oversikt'!M$8="",'Oversikt'!$C$6=""),0,SUMPRODUCT(MAX(('Innmelding'!$A$2:$A$701='Oversikt'!$C$6)*('Innmelding'!$B$2:$B$701='Oversikt'!$C$5)*('Innmelding'!$C$2:$C$701=$B20)*('Innmelding'!$D$2:$D$701='Oversikt'!M$8)*'Innmelding'!$H$2:$H$701)))</f>
        <v/>
      </c>
      <c r="Y20">
        <f>IF(OR($B20="",'Oversikt'!N$8="",'Oversikt'!$C$6=""),0,SUMPRODUCT(MAX(('Innmelding'!$A$2:$A$701='Oversikt'!$C$6)*('Innmelding'!$B$2:$B$701='Oversikt'!$C$5)*('Innmelding'!$C$2:$C$701=$B20)*('Innmelding'!$D$2:$D$701='Oversikt'!N$8)*'Innmelding'!$H$2:$H$701)))</f>
        <v/>
      </c>
      <c r="Z20">
        <f>IF(OR($B20="",'Oversikt'!O$8="",'Oversikt'!$C$6=""),0,SUMPRODUCT(MAX(('Innmelding'!$A$2:$A$701='Oversikt'!$C$6)*('Innmelding'!$B$2:$B$701='Oversikt'!$C$5)*('Innmelding'!$C$2:$C$701=$B20)*('Innmelding'!$D$2:$D$701='Oversikt'!O$8)*'Innmelding'!$H$2:$H$701)))</f>
        <v/>
      </c>
      <c r="AA20">
        <f>IF(OR($B20="",'Oversikt'!P$8="",'Oversikt'!$C$6=""),0,SUMPRODUCT(MAX(('Innmelding'!$A$2:$A$701='Oversikt'!$C$6)*('Innmelding'!$B$2:$B$701='Oversikt'!$C$5)*('Innmelding'!$C$2:$C$701=$B20)*('Innmelding'!$D$2:$D$701='Oversikt'!P$8)*'Innmelding'!$H$2:$H$701)))</f>
        <v/>
      </c>
      <c r="AB20">
        <f>IF(OR($B20="",'Oversikt'!Q$8="",'Oversikt'!$C$6=""),0,SUMPRODUCT(MAX(('Innmelding'!$A$2:$A$701='Oversikt'!$C$6)*('Innmelding'!$B$2:$B$701='Oversikt'!$C$5)*('Innmelding'!$C$2:$C$701=$B20)*('Innmelding'!$D$2:$D$701='Oversikt'!Q$8)*'Innmelding'!$H$2:$H$701)))</f>
        <v/>
      </c>
      <c r="AC20">
        <f>IF(OR($B20="",'Oversikt'!F$8=""),0,SUMPRODUCT(('Innmelding'!$A$2:$A$701='Oversikt'!$C$4)*('Innmelding'!$B$2:$B$701='Oversikt'!$C$5)*('Innmelding'!$C$2:$C$701=$B20)*('Innmelding'!$D$2:$D$701='Oversikt'!F$8)*('Innmelding'!$H$2:$H$701&gt;0)))</f>
        <v/>
      </c>
      <c r="AD20">
        <f>IF(OR($B20="",'Oversikt'!G$8=""),0,SUMPRODUCT(('Innmelding'!$A$2:$A$701='Oversikt'!$C$4)*('Innmelding'!$B$2:$B$701='Oversikt'!$C$5)*('Innmelding'!$C$2:$C$701=$B20)*('Innmelding'!$D$2:$D$701='Oversikt'!G$8)*('Innmelding'!$H$2:$H$701&gt;0)))</f>
        <v/>
      </c>
      <c r="AE20">
        <f>IF(OR($B20="",'Oversikt'!H$8=""),0,SUMPRODUCT(('Innmelding'!$A$2:$A$701='Oversikt'!$C$4)*('Innmelding'!$B$2:$B$701='Oversikt'!$C$5)*('Innmelding'!$C$2:$C$701=$B20)*('Innmelding'!$D$2:$D$701='Oversikt'!H$8)*('Innmelding'!$H$2:$H$701&gt;0)))</f>
        <v/>
      </c>
      <c r="AF20">
        <f>IF(OR($B20="",'Oversikt'!I$8=""),0,SUMPRODUCT(('Innmelding'!$A$2:$A$701='Oversikt'!$C$4)*('Innmelding'!$B$2:$B$701='Oversikt'!$C$5)*('Innmelding'!$C$2:$C$701=$B20)*('Innmelding'!$D$2:$D$701='Oversikt'!I$8)*('Innmelding'!$H$2:$H$701&gt;0)))</f>
        <v/>
      </c>
      <c r="AG20">
        <f>IF(OR($B20="",'Oversikt'!J$8=""),0,SUMPRODUCT(('Innmelding'!$A$2:$A$701='Oversikt'!$C$4)*('Innmelding'!$B$2:$B$701='Oversikt'!$C$5)*('Innmelding'!$C$2:$C$701=$B20)*('Innmelding'!$D$2:$D$701='Oversikt'!J$8)*('Innmelding'!$H$2:$H$701&gt;0)))</f>
        <v/>
      </c>
      <c r="AH20">
        <f>IF(OR($B20="",'Oversikt'!K$8=""),0,SUMPRODUCT(('Innmelding'!$A$2:$A$701='Oversikt'!$C$4)*('Innmelding'!$B$2:$B$701='Oversikt'!$C$5)*('Innmelding'!$C$2:$C$701=$B20)*('Innmelding'!$D$2:$D$701='Oversikt'!K$8)*('Innmelding'!$H$2:$H$701&gt;0)))</f>
        <v/>
      </c>
      <c r="AI20">
        <f>IF(OR($B20="",'Oversikt'!L$8=""),0,SUMPRODUCT(('Innmelding'!$A$2:$A$701='Oversikt'!$C$4)*('Innmelding'!$B$2:$B$701='Oversikt'!$C$5)*('Innmelding'!$C$2:$C$701=$B20)*('Innmelding'!$D$2:$D$701='Oversikt'!L$8)*('Innmelding'!$H$2:$H$701&gt;0)))</f>
        <v/>
      </c>
      <c r="AJ20">
        <f>IF(OR($B20="",'Oversikt'!M$8=""),0,SUMPRODUCT(('Innmelding'!$A$2:$A$701='Oversikt'!$C$4)*('Innmelding'!$B$2:$B$701='Oversikt'!$C$5)*('Innmelding'!$C$2:$C$701=$B20)*('Innmelding'!$D$2:$D$701='Oversikt'!M$8)*('Innmelding'!$H$2:$H$701&gt;0)))</f>
        <v/>
      </c>
      <c r="AK20">
        <f>IF(OR($B20="",'Oversikt'!N$8=""),0,SUMPRODUCT(('Innmelding'!$A$2:$A$701='Oversikt'!$C$4)*('Innmelding'!$B$2:$B$701='Oversikt'!$C$5)*('Innmelding'!$C$2:$C$701=$B20)*('Innmelding'!$D$2:$D$701='Oversikt'!N$8)*('Innmelding'!$H$2:$H$701&gt;0)))</f>
        <v/>
      </c>
      <c r="AL20">
        <f>IF(OR($B20="",'Oversikt'!O$8=""),0,SUMPRODUCT(('Innmelding'!$A$2:$A$701='Oversikt'!$C$4)*('Innmelding'!$B$2:$B$701='Oversikt'!$C$5)*('Innmelding'!$C$2:$C$701=$B20)*('Innmelding'!$D$2:$D$701='Oversikt'!O$8)*('Innmelding'!$H$2:$H$701&gt;0)))</f>
        <v/>
      </c>
      <c r="AM20">
        <f>IF(OR($B20="",'Oversikt'!P$8=""),0,SUMPRODUCT(('Innmelding'!$A$2:$A$701='Oversikt'!$C$4)*('Innmelding'!$B$2:$B$701='Oversikt'!$C$5)*('Innmelding'!$C$2:$C$701=$B20)*('Innmelding'!$D$2:$D$701='Oversikt'!P$8)*('Innmelding'!$H$2:$H$701&gt;0)))</f>
        <v/>
      </c>
      <c r="AN20">
        <f>IF(OR($B20="",'Oversikt'!Q$8=""),0,SUMPRODUCT(('Innmelding'!$A$2:$A$701='Oversikt'!$C$4)*('Innmelding'!$B$2:$B$701='Oversikt'!$C$5)*('Innmelding'!$C$2:$C$701=$B20)*('Innmelding'!$D$2:$D$701='Oversikt'!Q$8)*('Innmelding'!$H$2:$H$701&gt;0)))</f>
        <v/>
      </c>
    </row>
    <row r="21">
      <c r="A21" t="n">
        <v>20</v>
      </c>
      <c r="B21">
        <f>IFERROR(INDEX('Elevar'!$A$2:$AZ$41,$A21,MATCH('Oversikt'!$C$5,'Elevar'!$A$1:$AZ$1,0))&amp;"","")</f>
        <v/>
      </c>
      <c r="C21">
        <f>IF($B21="",-1-$A21/1000,COUNTIF($E21:$P21,3)*10000+COUNTIF($E21:$P21,2)*100+COUNTIF($E21:$P21,1)+(100-$A21)/1000)</f>
        <v/>
      </c>
      <c r="D21">
        <f>MATCH(LARGE($C$2:$C$41,$A21),$C$2:$C$41,0)</f>
        <v/>
      </c>
      <c r="E21">
        <f>IF(OR($B21="",'Oversikt'!F$8=""),0,SUMPRODUCT(MAX(('Innmelding'!$A$2:$A$701='Oversikt'!$C$4)*('Innmelding'!$B$2:$B$701='Oversikt'!$C$5)*('Innmelding'!$C$2:$C$701=$B21)*('Innmelding'!$D$2:$D$701='Oversikt'!F$8)*'Innmelding'!$H$2:$H$701)))</f>
        <v/>
      </c>
      <c r="F21">
        <f>IF(OR($B21="",'Oversikt'!G$8=""),0,SUMPRODUCT(MAX(('Innmelding'!$A$2:$A$701='Oversikt'!$C$4)*('Innmelding'!$B$2:$B$701='Oversikt'!$C$5)*('Innmelding'!$C$2:$C$701=$B21)*('Innmelding'!$D$2:$D$701='Oversikt'!G$8)*'Innmelding'!$H$2:$H$701)))</f>
        <v/>
      </c>
      <c r="G21">
        <f>IF(OR($B21="",'Oversikt'!H$8=""),0,SUMPRODUCT(MAX(('Innmelding'!$A$2:$A$701='Oversikt'!$C$4)*('Innmelding'!$B$2:$B$701='Oversikt'!$C$5)*('Innmelding'!$C$2:$C$701=$B21)*('Innmelding'!$D$2:$D$701='Oversikt'!H$8)*'Innmelding'!$H$2:$H$701)))</f>
        <v/>
      </c>
      <c r="H21">
        <f>IF(OR($B21="",'Oversikt'!I$8=""),0,SUMPRODUCT(MAX(('Innmelding'!$A$2:$A$701='Oversikt'!$C$4)*('Innmelding'!$B$2:$B$701='Oversikt'!$C$5)*('Innmelding'!$C$2:$C$701=$B21)*('Innmelding'!$D$2:$D$701='Oversikt'!I$8)*'Innmelding'!$H$2:$H$701)))</f>
        <v/>
      </c>
      <c r="I21">
        <f>IF(OR($B21="",'Oversikt'!J$8=""),0,SUMPRODUCT(MAX(('Innmelding'!$A$2:$A$701='Oversikt'!$C$4)*('Innmelding'!$B$2:$B$701='Oversikt'!$C$5)*('Innmelding'!$C$2:$C$701=$B21)*('Innmelding'!$D$2:$D$701='Oversikt'!J$8)*'Innmelding'!$H$2:$H$701)))</f>
        <v/>
      </c>
      <c r="J21">
        <f>IF(OR($B21="",'Oversikt'!K$8=""),0,SUMPRODUCT(MAX(('Innmelding'!$A$2:$A$701='Oversikt'!$C$4)*('Innmelding'!$B$2:$B$701='Oversikt'!$C$5)*('Innmelding'!$C$2:$C$701=$B21)*('Innmelding'!$D$2:$D$701='Oversikt'!K$8)*'Innmelding'!$H$2:$H$701)))</f>
        <v/>
      </c>
      <c r="K21">
        <f>IF(OR($B21="",'Oversikt'!L$8=""),0,SUMPRODUCT(MAX(('Innmelding'!$A$2:$A$701='Oversikt'!$C$4)*('Innmelding'!$B$2:$B$701='Oversikt'!$C$5)*('Innmelding'!$C$2:$C$701=$B21)*('Innmelding'!$D$2:$D$701='Oversikt'!L$8)*'Innmelding'!$H$2:$H$701)))</f>
        <v/>
      </c>
      <c r="L21">
        <f>IF(OR($B21="",'Oversikt'!M$8=""),0,SUMPRODUCT(MAX(('Innmelding'!$A$2:$A$701='Oversikt'!$C$4)*('Innmelding'!$B$2:$B$701='Oversikt'!$C$5)*('Innmelding'!$C$2:$C$701=$B21)*('Innmelding'!$D$2:$D$701='Oversikt'!M$8)*'Innmelding'!$H$2:$H$701)))</f>
        <v/>
      </c>
      <c r="M21">
        <f>IF(OR($B21="",'Oversikt'!N$8=""),0,SUMPRODUCT(MAX(('Innmelding'!$A$2:$A$701='Oversikt'!$C$4)*('Innmelding'!$B$2:$B$701='Oversikt'!$C$5)*('Innmelding'!$C$2:$C$701=$B21)*('Innmelding'!$D$2:$D$701='Oversikt'!N$8)*'Innmelding'!$H$2:$H$701)))</f>
        <v/>
      </c>
      <c r="N21">
        <f>IF(OR($B21="",'Oversikt'!O$8=""),0,SUMPRODUCT(MAX(('Innmelding'!$A$2:$A$701='Oversikt'!$C$4)*('Innmelding'!$B$2:$B$701='Oversikt'!$C$5)*('Innmelding'!$C$2:$C$701=$B21)*('Innmelding'!$D$2:$D$701='Oversikt'!O$8)*'Innmelding'!$H$2:$H$701)))</f>
        <v/>
      </c>
      <c r="O21">
        <f>IF(OR($B21="",'Oversikt'!P$8=""),0,SUMPRODUCT(MAX(('Innmelding'!$A$2:$A$701='Oversikt'!$C$4)*('Innmelding'!$B$2:$B$701='Oversikt'!$C$5)*('Innmelding'!$C$2:$C$701=$B21)*('Innmelding'!$D$2:$D$701='Oversikt'!P$8)*'Innmelding'!$H$2:$H$701)))</f>
        <v/>
      </c>
      <c r="P21">
        <f>IF(OR($B21="",'Oversikt'!Q$8=""),0,SUMPRODUCT(MAX(('Innmelding'!$A$2:$A$701='Oversikt'!$C$4)*('Innmelding'!$B$2:$B$701='Oversikt'!$C$5)*('Innmelding'!$C$2:$C$701=$B21)*('Innmelding'!$D$2:$D$701='Oversikt'!Q$8)*'Innmelding'!$H$2:$H$701)))</f>
        <v/>
      </c>
      <c r="Q21">
        <f>IF(OR($B21="",'Oversikt'!F$8="",'Oversikt'!$C$6=""),0,SUMPRODUCT(MAX(('Innmelding'!$A$2:$A$701='Oversikt'!$C$6)*('Innmelding'!$B$2:$B$701='Oversikt'!$C$5)*('Innmelding'!$C$2:$C$701=$B21)*('Innmelding'!$D$2:$D$701='Oversikt'!F$8)*'Innmelding'!$H$2:$H$701)))</f>
        <v/>
      </c>
      <c r="R21">
        <f>IF(OR($B21="",'Oversikt'!G$8="",'Oversikt'!$C$6=""),0,SUMPRODUCT(MAX(('Innmelding'!$A$2:$A$701='Oversikt'!$C$6)*('Innmelding'!$B$2:$B$701='Oversikt'!$C$5)*('Innmelding'!$C$2:$C$701=$B21)*('Innmelding'!$D$2:$D$701='Oversikt'!G$8)*'Innmelding'!$H$2:$H$701)))</f>
        <v/>
      </c>
      <c r="S21">
        <f>IF(OR($B21="",'Oversikt'!H$8="",'Oversikt'!$C$6=""),0,SUMPRODUCT(MAX(('Innmelding'!$A$2:$A$701='Oversikt'!$C$6)*('Innmelding'!$B$2:$B$701='Oversikt'!$C$5)*('Innmelding'!$C$2:$C$701=$B21)*('Innmelding'!$D$2:$D$701='Oversikt'!H$8)*'Innmelding'!$H$2:$H$701)))</f>
        <v/>
      </c>
      <c r="T21">
        <f>IF(OR($B21="",'Oversikt'!I$8="",'Oversikt'!$C$6=""),0,SUMPRODUCT(MAX(('Innmelding'!$A$2:$A$701='Oversikt'!$C$6)*('Innmelding'!$B$2:$B$701='Oversikt'!$C$5)*('Innmelding'!$C$2:$C$701=$B21)*('Innmelding'!$D$2:$D$701='Oversikt'!I$8)*'Innmelding'!$H$2:$H$701)))</f>
        <v/>
      </c>
      <c r="U21">
        <f>IF(OR($B21="",'Oversikt'!J$8="",'Oversikt'!$C$6=""),0,SUMPRODUCT(MAX(('Innmelding'!$A$2:$A$701='Oversikt'!$C$6)*('Innmelding'!$B$2:$B$701='Oversikt'!$C$5)*('Innmelding'!$C$2:$C$701=$B21)*('Innmelding'!$D$2:$D$701='Oversikt'!J$8)*'Innmelding'!$H$2:$H$701)))</f>
        <v/>
      </c>
      <c r="V21">
        <f>IF(OR($B21="",'Oversikt'!K$8="",'Oversikt'!$C$6=""),0,SUMPRODUCT(MAX(('Innmelding'!$A$2:$A$701='Oversikt'!$C$6)*('Innmelding'!$B$2:$B$701='Oversikt'!$C$5)*('Innmelding'!$C$2:$C$701=$B21)*('Innmelding'!$D$2:$D$701='Oversikt'!K$8)*'Innmelding'!$H$2:$H$701)))</f>
        <v/>
      </c>
      <c r="W21">
        <f>IF(OR($B21="",'Oversikt'!L$8="",'Oversikt'!$C$6=""),0,SUMPRODUCT(MAX(('Innmelding'!$A$2:$A$701='Oversikt'!$C$6)*('Innmelding'!$B$2:$B$701='Oversikt'!$C$5)*('Innmelding'!$C$2:$C$701=$B21)*('Innmelding'!$D$2:$D$701='Oversikt'!L$8)*'Innmelding'!$H$2:$H$701)))</f>
        <v/>
      </c>
      <c r="X21">
        <f>IF(OR($B21="",'Oversikt'!M$8="",'Oversikt'!$C$6=""),0,SUMPRODUCT(MAX(('Innmelding'!$A$2:$A$701='Oversikt'!$C$6)*('Innmelding'!$B$2:$B$701='Oversikt'!$C$5)*('Innmelding'!$C$2:$C$701=$B21)*('Innmelding'!$D$2:$D$701='Oversikt'!M$8)*'Innmelding'!$H$2:$H$701)))</f>
        <v/>
      </c>
      <c r="Y21">
        <f>IF(OR($B21="",'Oversikt'!N$8="",'Oversikt'!$C$6=""),0,SUMPRODUCT(MAX(('Innmelding'!$A$2:$A$701='Oversikt'!$C$6)*('Innmelding'!$B$2:$B$701='Oversikt'!$C$5)*('Innmelding'!$C$2:$C$701=$B21)*('Innmelding'!$D$2:$D$701='Oversikt'!N$8)*'Innmelding'!$H$2:$H$701)))</f>
        <v/>
      </c>
      <c r="Z21">
        <f>IF(OR($B21="",'Oversikt'!O$8="",'Oversikt'!$C$6=""),0,SUMPRODUCT(MAX(('Innmelding'!$A$2:$A$701='Oversikt'!$C$6)*('Innmelding'!$B$2:$B$701='Oversikt'!$C$5)*('Innmelding'!$C$2:$C$701=$B21)*('Innmelding'!$D$2:$D$701='Oversikt'!O$8)*'Innmelding'!$H$2:$H$701)))</f>
        <v/>
      </c>
      <c r="AA21">
        <f>IF(OR($B21="",'Oversikt'!P$8="",'Oversikt'!$C$6=""),0,SUMPRODUCT(MAX(('Innmelding'!$A$2:$A$701='Oversikt'!$C$6)*('Innmelding'!$B$2:$B$701='Oversikt'!$C$5)*('Innmelding'!$C$2:$C$701=$B21)*('Innmelding'!$D$2:$D$701='Oversikt'!P$8)*'Innmelding'!$H$2:$H$701)))</f>
        <v/>
      </c>
      <c r="AB21">
        <f>IF(OR($B21="",'Oversikt'!Q$8="",'Oversikt'!$C$6=""),0,SUMPRODUCT(MAX(('Innmelding'!$A$2:$A$701='Oversikt'!$C$6)*('Innmelding'!$B$2:$B$701='Oversikt'!$C$5)*('Innmelding'!$C$2:$C$701=$B21)*('Innmelding'!$D$2:$D$701='Oversikt'!Q$8)*'Innmelding'!$H$2:$H$701)))</f>
        <v/>
      </c>
      <c r="AC21">
        <f>IF(OR($B21="",'Oversikt'!F$8=""),0,SUMPRODUCT(('Innmelding'!$A$2:$A$701='Oversikt'!$C$4)*('Innmelding'!$B$2:$B$701='Oversikt'!$C$5)*('Innmelding'!$C$2:$C$701=$B21)*('Innmelding'!$D$2:$D$701='Oversikt'!F$8)*('Innmelding'!$H$2:$H$701&gt;0)))</f>
        <v/>
      </c>
      <c r="AD21">
        <f>IF(OR($B21="",'Oversikt'!G$8=""),0,SUMPRODUCT(('Innmelding'!$A$2:$A$701='Oversikt'!$C$4)*('Innmelding'!$B$2:$B$701='Oversikt'!$C$5)*('Innmelding'!$C$2:$C$701=$B21)*('Innmelding'!$D$2:$D$701='Oversikt'!G$8)*('Innmelding'!$H$2:$H$701&gt;0)))</f>
        <v/>
      </c>
      <c r="AE21">
        <f>IF(OR($B21="",'Oversikt'!H$8=""),0,SUMPRODUCT(('Innmelding'!$A$2:$A$701='Oversikt'!$C$4)*('Innmelding'!$B$2:$B$701='Oversikt'!$C$5)*('Innmelding'!$C$2:$C$701=$B21)*('Innmelding'!$D$2:$D$701='Oversikt'!H$8)*('Innmelding'!$H$2:$H$701&gt;0)))</f>
        <v/>
      </c>
      <c r="AF21">
        <f>IF(OR($B21="",'Oversikt'!I$8=""),0,SUMPRODUCT(('Innmelding'!$A$2:$A$701='Oversikt'!$C$4)*('Innmelding'!$B$2:$B$701='Oversikt'!$C$5)*('Innmelding'!$C$2:$C$701=$B21)*('Innmelding'!$D$2:$D$701='Oversikt'!I$8)*('Innmelding'!$H$2:$H$701&gt;0)))</f>
        <v/>
      </c>
      <c r="AG21">
        <f>IF(OR($B21="",'Oversikt'!J$8=""),0,SUMPRODUCT(('Innmelding'!$A$2:$A$701='Oversikt'!$C$4)*('Innmelding'!$B$2:$B$701='Oversikt'!$C$5)*('Innmelding'!$C$2:$C$701=$B21)*('Innmelding'!$D$2:$D$701='Oversikt'!J$8)*('Innmelding'!$H$2:$H$701&gt;0)))</f>
        <v/>
      </c>
      <c r="AH21">
        <f>IF(OR($B21="",'Oversikt'!K$8=""),0,SUMPRODUCT(('Innmelding'!$A$2:$A$701='Oversikt'!$C$4)*('Innmelding'!$B$2:$B$701='Oversikt'!$C$5)*('Innmelding'!$C$2:$C$701=$B21)*('Innmelding'!$D$2:$D$701='Oversikt'!K$8)*('Innmelding'!$H$2:$H$701&gt;0)))</f>
        <v/>
      </c>
      <c r="AI21">
        <f>IF(OR($B21="",'Oversikt'!L$8=""),0,SUMPRODUCT(('Innmelding'!$A$2:$A$701='Oversikt'!$C$4)*('Innmelding'!$B$2:$B$701='Oversikt'!$C$5)*('Innmelding'!$C$2:$C$701=$B21)*('Innmelding'!$D$2:$D$701='Oversikt'!L$8)*('Innmelding'!$H$2:$H$701&gt;0)))</f>
        <v/>
      </c>
      <c r="AJ21">
        <f>IF(OR($B21="",'Oversikt'!M$8=""),0,SUMPRODUCT(('Innmelding'!$A$2:$A$701='Oversikt'!$C$4)*('Innmelding'!$B$2:$B$701='Oversikt'!$C$5)*('Innmelding'!$C$2:$C$701=$B21)*('Innmelding'!$D$2:$D$701='Oversikt'!M$8)*('Innmelding'!$H$2:$H$701&gt;0)))</f>
        <v/>
      </c>
      <c r="AK21">
        <f>IF(OR($B21="",'Oversikt'!N$8=""),0,SUMPRODUCT(('Innmelding'!$A$2:$A$701='Oversikt'!$C$4)*('Innmelding'!$B$2:$B$701='Oversikt'!$C$5)*('Innmelding'!$C$2:$C$701=$B21)*('Innmelding'!$D$2:$D$701='Oversikt'!N$8)*('Innmelding'!$H$2:$H$701&gt;0)))</f>
        <v/>
      </c>
      <c r="AL21">
        <f>IF(OR($B21="",'Oversikt'!O$8=""),0,SUMPRODUCT(('Innmelding'!$A$2:$A$701='Oversikt'!$C$4)*('Innmelding'!$B$2:$B$701='Oversikt'!$C$5)*('Innmelding'!$C$2:$C$701=$B21)*('Innmelding'!$D$2:$D$701='Oversikt'!O$8)*('Innmelding'!$H$2:$H$701&gt;0)))</f>
        <v/>
      </c>
      <c r="AM21">
        <f>IF(OR($B21="",'Oversikt'!P$8=""),0,SUMPRODUCT(('Innmelding'!$A$2:$A$701='Oversikt'!$C$4)*('Innmelding'!$B$2:$B$701='Oversikt'!$C$5)*('Innmelding'!$C$2:$C$701=$B21)*('Innmelding'!$D$2:$D$701='Oversikt'!P$8)*('Innmelding'!$H$2:$H$701&gt;0)))</f>
        <v/>
      </c>
      <c r="AN21">
        <f>IF(OR($B21="",'Oversikt'!Q$8=""),0,SUMPRODUCT(('Innmelding'!$A$2:$A$701='Oversikt'!$C$4)*('Innmelding'!$B$2:$B$701='Oversikt'!$C$5)*('Innmelding'!$C$2:$C$701=$B21)*('Innmelding'!$D$2:$D$701='Oversikt'!Q$8)*('Innmelding'!$H$2:$H$701&gt;0)))</f>
        <v/>
      </c>
    </row>
    <row r="22">
      <c r="A22" t="n">
        <v>21</v>
      </c>
      <c r="B22">
        <f>IFERROR(INDEX('Elevar'!$A$2:$AZ$41,$A22,MATCH('Oversikt'!$C$5,'Elevar'!$A$1:$AZ$1,0))&amp;"","")</f>
        <v/>
      </c>
      <c r="C22">
        <f>IF($B22="",-1-$A22/1000,COUNTIF($E22:$P22,3)*10000+COUNTIF($E22:$P22,2)*100+COUNTIF($E22:$P22,1)+(100-$A22)/1000)</f>
        <v/>
      </c>
      <c r="D22">
        <f>MATCH(LARGE($C$2:$C$41,$A22),$C$2:$C$41,0)</f>
        <v/>
      </c>
      <c r="E22">
        <f>IF(OR($B22="",'Oversikt'!F$8=""),0,SUMPRODUCT(MAX(('Innmelding'!$A$2:$A$701='Oversikt'!$C$4)*('Innmelding'!$B$2:$B$701='Oversikt'!$C$5)*('Innmelding'!$C$2:$C$701=$B22)*('Innmelding'!$D$2:$D$701='Oversikt'!F$8)*'Innmelding'!$H$2:$H$701)))</f>
        <v/>
      </c>
      <c r="F22">
        <f>IF(OR($B22="",'Oversikt'!G$8=""),0,SUMPRODUCT(MAX(('Innmelding'!$A$2:$A$701='Oversikt'!$C$4)*('Innmelding'!$B$2:$B$701='Oversikt'!$C$5)*('Innmelding'!$C$2:$C$701=$B22)*('Innmelding'!$D$2:$D$701='Oversikt'!G$8)*'Innmelding'!$H$2:$H$701)))</f>
        <v/>
      </c>
      <c r="G22">
        <f>IF(OR($B22="",'Oversikt'!H$8=""),0,SUMPRODUCT(MAX(('Innmelding'!$A$2:$A$701='Oversikt'!$C$4)*('Innmelding'!$B$2:$B$701='Oversikt'!$C$5)*('Innmelding'!$C$2:$C$701=$B22)*('Innmelding'!$D$2:$D$701='Oversikt'!H$8)*'Innmelding'!$H$2:$H$701)))</f>
        <v/>
      </c>
      <c r="H22">
        <f>IF(OR($B22="",'Oversikt'!I$8=""),0,SUMPRODUCT(MAX(('Innmelding'!$A$2:$A$701='Oversikt'!$C$4)*('Innmelding'!$B$2:$B$701='Oversikt'!$C$5)*('Innmelding'!$C$2:$C$701=$B22)*('Innmelding'!$D$2:$D$701='Oversikt'!I$8)*'Innmelding'!$H$2:$H$701)))</f>
        <v/>
      </c>
      <c r="I22">
        <f>IF(OR($B22="",'Oversikt'!J$8=""),0,SUMPRODUCT(MAX(('Innmelding'!$A$2:$A$701='Oversikt'!$C$4)*('Innmelding'!$B$2:$B$701='Oversikt'!$C$5)*('Innmelding'!$C$2:$C$701=$B22)*('Innmelding'!$D$2:$D$701='Oversikt'!J$8)*'Innmelding'!$H$2:$H$701)))</f>
        <v/>
      </c>
      <c r="J22">
        <f>IF(OR($B22="",'Oversikt'!K$8=""),0,SUMPRODUCT(MAX(('Innmelding'!$A$2:$A$701='Oversikt'!$C$4)*('Innmelding'!$B$2:$B$701='Oversikt'!$C$5)*('Innmelding'!$C$2:$C$701=$B22)*('Innmelding'!$D$2:$D$701='Oversikt'!K$8)*'Innmelding'!$H$2:$H$701)))</f>
        <v/>
      </c>
      <c r="K22">
        <f>IF(OR($B22="",'Oversikt'!L$8=""),0,SUMPRODUCT(MAX(('Innmelding'!$A$2:$A$701='Oversikt'!$C$4)*('Innmelding'!$B$2:$B$701='Oversikt'!$C$5)*('Innmelding'!$C$2:$C$701=$B22)*('Innmelding'!$D$2:$D$701='Oversikt'!L$8)*'Innmelding'!$H$2:$H$701)))</f>
        <v/>
      </c>
      <c r="L22">
        <f>IF(OR($B22="",'Oversikt'!M$8=""),0,SUMPRODUCT(MAX(('Innmelding'!$A$2:$A$701='Oversikt'!$C$4)*('Innmelding'!$B$2:$B$701='Oversikt'!$C$5)*('Innmelding'!$C$2:$C$701=$B22)*('Innmelding'!$D$2:$D$701='Oversikt'!M$8)*'Innmelding'!$H$2:$H$701)))</f>
        <v/>
      </c>
      <c r="M22">
        <f>IF(OR($B22="",'Oversikt'!N$8=""),0,SUMPRODUCT(MAX(('Innmelding'!$A$2:$A$701='Oversikt'!$C$4)*('Innmelding'!$B$2:$B$701='Oversikt'!$C$5)*('Innmelding'!$C$2:$C$701=$B22)*('Innmelding'!$D$2:$D$701='Oversikt'!N$8)*'Innmelding'!$H$2:$H$701)))</f>
        <v/>
      </c>
      <c r="N22">
        <f>IF(OR($B22="",'Oversikt'!O$8=""),0,SUMPRODUCT(MAX(('Innmelding'!$A$2:$A$701='Oversikt'!$C$4)*('Innmelding'!$B$2:$B$701='Oversikt'!$C$5)*('Innmelding'!$C$2:$C$701=$B22)*('Innmelding'!$D$2:$D$701='Oversikt'!O$8)*'Innmelding'!$H$2:$H$701)))</f>
        <v/>
      </c>
      <c r="O22">
        <f>IF(OR($B22="",'Oversikt'!P$8=""),0,SUMPRODUCT(MAX(('Innmelding'!$A$2:$A$701='Oversikt'!$C$4)*('Innmelding'!$B$2:$B$701='Oversikt'!$C$5)*('Innmelding'!$C$2:$C$701=$B22)*('Innmelding'!$D$2:$D$701='Oversikt'!P$8)*'Innmelding'!$H$2:$H$701)))</f>
        <v/>
      </c>
      <c r="P22">
        <f>IF(OR($B22="",'Oversikt'!Q$8=""),0,SUMPRODUCT(MAX(('Innmelding'!$A$2:$A$701='Oversikt'!$C$4)*('Innmelding'!$B$2:$B$701='Oversikt'!$C$5)*('Innmelding'!$C$2:$C$701=$B22)*('Innmelding'!$D$2:$D$701='Oversikt'!Q$8)*'Innmelding'!$H$2:$H$701)))</f>
        <v/>
      </c>
      <c r="Q22">
        <f>IF(OR($B22="",'Oversikt'!F$8="",'Oversikt'!$C$6=""),0,SUMPRODUCT(MAX(('Innmelding'!$A$2:$A$701='Oversikt'!$C$6)*('Innmelding'!$B$2:$B$701='Oversikt'!$C$5)*('Innmelding'!$C$2:$C$701=$B22)*('Innmelding'!$D$2:$D$701='Oversikt'!F$8)*'Innmelding'!$H$2:$H$701)))</f>
        <v/>
      </c>
      <c r="R22">
        <f>IF(OR($B22="",'Oversikt'!G$8="",'Oversikt'!$C$6=""),0,SUMPRODUCT(MAX(('Innmelding'!$A$2:$A$701='Oversikt'!$C$6)*('Innmelding'!$B$2:$B$701='Oversikt'!$C$5)*('Innmelding'!$C$2:$C$701=$B22)*('Innmelding'!$D$2:$D$701='Oversikt'!G$8)*'Innmelding'!$H$2:$H$701)))</f>
        <v/>
      </c>
      <c r="S22">
        <f>IF(OR($B22="",'Oversikt'!H$8="",'Oversikt'!$C$6=""),0,SUMPRODUCT(MAX(('Innmelding'!$A$2:$A$701='Oversikt'!$C$6)*('Innmelding'!$B$2:$B$701='Oversikt'!$C$5)*('Innmelding'!$C$2:$C$701=$B22)*('Innmelding'!$D$2:$D$701='Oversikt'!H$8)*'Innmelding'!$H$2:$H$701)))</f>
        <v/>
      </c>
      <c r="T22">
        <f>IF(OR($B22="",'Oversikt'!I$8="",'Oversikt'!$C$6=""),0,SUMPRODUCT(MAX(('Innmelding'!$A$2:$A$701='Oversikt'!$C$6)*('Innmelding'!$B$2:$B$701='Oversikt'!$C$5)*('Innmelding'!$C$2:$C$701=$B22)*('Innmelding'!$D$2:$D$701='Oversikt'!I$8)*'Innmelding'!$H$2:$H$701)))</f>
        <v/>
      </c>
      <c r="U22">
        <f>IF(OR($B22="",'Oversikt'!J$8="",'Oversikt'!$C$6=""),0,SUMPRODUCT(MAX(('Innmelding'!$A$2:$A$701='Oversikt'!$C$6)*('Innmelding'!$B$2:$B$701='Oversikt'!$C$5)*('Innmelding'!$C$2:$C$701=$B22)*('Innmelding'!$D$2:$D$701='Oversikt'!J$8)*'Innmelding'!$H$2:$H$701)))</f>
        <v/>
      </c>
      <c r="V22">
        <f>IF(OR($B22="",'Oversikt'!K$8="",'Oversikt'!$C$6=""),0,SUMPRODUCT(MAX(('Innmelding'!$A$2:$A$701='Oversikt'!$C$6)*('Innmelding'!$B$2:$B$701='Oversikt'!$C$5)*('Innmelding'!$C$2:$C$701=$B22)*('Innmelding'!$D$2:$D$701='Oversikt'!K$8)*'Innmelding'!$H$2:$H$701)))</f>
        <v/>
      </c>
      <c r="W22">
        <f>IF(OR($B22="",'Oversikt'!L$8="",'Oversikt'!$C$6=""),0,SUMPRODUCT(MAX(('Innmelding'!$A$2:$A$701='Oversikt'!$C$6)*('Innmelding'!$B$2:$B$701='Oversikt'!$C$5)*('Innmelding'!$C$2:$C$701=$B22)*('Innmelding'!$D$2:$D$701='Oversikt'!L$8)*'Innmelding'!$H$2:$H$701)))</f>
        <v/>
      </c>
      <c r="X22">
        <f>IF(OR($B22="",'Oversikt'!M$8="",'Oversikt'!$C$6=""),0,SUMPRODUCT(MAX(('Innmelding'!$A$2:$A$701='Oversikt'!$C$6)*('Innmelding'!$B$2:$B$701='Oversikt'!$C$5)*('Innmelding'!$C$2:$C$701=$B22)*('Innmelding'!$D$2:$D$701='Oversikt'!M$8)*'Innmelding'!$H$2:$H$701)))</f>
        <v/>
      </c>
      <c r="Y22">
        <f>IF(OR($B22="",'Oversikt'!N$8="",'Oversikt'!$C$6=""),0,SUMPRODUCT(MAX(('Innmelding'!$A$2:$A$701='Oversikt'!$C$6)*('Innmelding'!$B$2:$B$701='Oversikt'!$C$5)*('Innmelding'!$C$2:$C$701=$B22)*('Innmelding'!$D$2:$D$701='Oversikt'!N$8)*'Innmelding'!$H$2:$H$701)))</f>
        <v/>
      </c>
      <c r="Z22">
        <f>IF(OR($B22="",'Oversikt'!O$8="",'Oversikt'!$C$6=""),0,SUMPRODUCT(MAX(('Innmelding'!$A$2:$A$701='Oversikt'!$C$6)*('Innmelding'!$B$2:$B$701='Oversikt'!$C$5)*('Innmelding'!$C$2:$C$701=$B22)*('Innmelding'!$D$2:$D$701='Oversikt'!O$8)*'Innmelding'!$H$2:$H$701)))</f>
        <v/>
      </c>
      <c r="AA22">
        <f>IF(OR($B22="",'Oversikt'!P$8="",'Oversikt'!$C$6=""),0,SUMPRODUCT(MAX(('Innmelding'!$A$2:$A$701='Oversikt'!$C$6)*('Innmelding'!$B$2:$B$701='Oversikt'!$C$5)*('Innmelding'!$C$2:$C$701=$B22)*('Innmelding'!$D$2:$D$701='Oversikt'!P$8)*'Innmelding'!$H$2:$H$701)))</f>
        <v/>
      </c>
      <c r="AB22">
        <f>IF(OR($B22="",'Oversikt'!Q$8="",'Oversikt'!$C$6=""),0,SUMPRODUCT(MAX(('Innmelding'!$A$2:$A$701='Oversikt'!$C$6)*('Innmelding'!$B$2:$B$701='Oversikt'!$C$5)*('Innmelding'!$C$2:$C$701=$B22)*('Innmelding'!$D$2:$D$701='Oversikt'!Q$8)*'Innmelding'!$H$2:$H$701)))</f>
        <v/>
      </c>
      <c r="AC22">
        <f>IF(OR($B22="",'Oversikt'!F$8=""),0,SUMPRODUCT(('Innmelding'!$A$2:$A$701='Oversikt'!$C$4)*('Innmelding'!$B$2:$B$701='Oversikt'!$C$5)*('Innmelding'!$C$2:$C$701=$B22)*('Innmelding'!$D$2:$D$701='Oversikt'!F$8)*('Innmelding'!$H$2:$H$701&gt;0)))</f>
        <v/>
      </c>
      <c r="AD22">
        <f>IF(OR($B22="",'Oversikt'!G$8=""),0,SUMPRODUCT(('Innmelding'!$A$2:$A$701='Oversikt'!$C$4)*('Innmelding'!$B$2:$B$701='Oversikt'!$C$5)*('Innmelding'!$C$2:$C$701=$B22)*('Innmelding'!$D$2:$D$701='Oversikt'!G$8)*('Innmelding'!$H$2:$H$701&gt;0)))</f>
        <v/>
      </c>
      <c r="AE22">
        <f>IF(OR($B22="",'Oversikt'!H$8=""),0,SUMPRODUCT(('Innmelding'!$A$2:$A$701='Oversikt'!$C$4)*('Innmelding'!$B$2:$B$701='Oversikt'!$C$5)*('Innmelding'!$C$2:$C$701=$B22)*('Innmelding'!$D$2:$D$701='Oversikt'!H$8)*('Innmelding'!$H$2:$H$701&gt;0)))</f>
        <v/>
      </c>
      <c r="AF22">
        <f>IF(OR($B22="",'Oversikt'!I$8=""),0,SUMPRODUCT(('Innmelding'!$A$2:$A$701='Oversikt'!$C$4)*('Innmelding'!$B$2:$B$701='Oversikt'!$C$5)*('Innmelding'!$C$2:$C$701=$B22)*('Innmelding'!$D$2:$D$701='Oversikt'!I$8)*('Innmelding'!$H$2:$H$701&gt;0)))</f>
        <v/>
      </c>
      <c r="AG22">
        <f>IF(OR($B22="",'Oversikt'!J$8=""),0,SUMPRODUCT(('Innmelding'!$A$2:$A$701='Oversikt'!$C$4)*('Innmelding'!$B$2:$B$701='Oversikt'!$C$5)*('Innmelding'!$C$2:$C$701=$B22)*('Innmelding'!$D$2:$D$701='Oversikt'!J$8)*('Innmelding'!$H$2:$H$701&gt;0)))</f>
        <v/>
      </c>
      <c r="AH22">
        <f>IF(OR($B22="",'Oversikt'!K$8=""),0,SUMPRODUCT(('Innmelding'!$A$2:$A$701='Oversikt'!$C$4)*('Innmelding'!$B$2:$B$701='Oversikt'!$C$5)*('Innmelding'!$C$2:$C$701=$B22)*('Innmelding'!$D$2:$D$701='Oversikt'!K$8)*('Innmelding'!$H$2:$H$701&gt;0)))</f>
        <v/>
      </c>
      <c r="AI22">
        <f>IF(OR($B22="",'Oversikt'!L$8=""),0,SUMPRODUCT(('Innmelding'!$A$2:$A$701='Oversikt'!$C$4)*('Innmelding'!$B$2:$B$701='Oversikt'!$C$5)*('Innmelding'!$C$2:$C$701=$B22)*('Innmelding'!$D$2:$D$701='Oversikt'!L$8)*('Innmelding'!$H$2:$H$701&gt;0)))</f>
        <v/>
      </c>
      <c r="AJ22">
        <f>IF(OR($B22="",'Oversikt'!M$8=""),0,SUMPRODUCT(('Innmelding'!$A$2:$A$701='Oversikt'!$C$4)*('Innmelding'!$B$2:$B$701='Oversikt'!$C$5)*('Innmelding'!$C$2:$C$701=$B22)*('Innmelding'!$D$2:$D$701='Oversikt'!M$8)*('Innmelding'!$H$2:$H$701&gt;0)))</f>
        <v/>
      </c>
      <c r="AK22">
        <f>IF(OR($B22="",'Oversikt'!N$8=""),0,SUMPRODUCT(('Innmelding'!$A$2:$A$701='Oversikt'!$C$4)*('Innmelding'!$B$2:$B$701='Oversikt'!$C$5)*('Innmelding'!$C$2:$C$701=$B22)*('Innmelding'!$D$2:$D$701='Oversikt'!N$8)*('Innmelding'!$H$2:$H$701&gt;0)))</f>
        <v/>
      </c>
      <c r="AL22">
        <f>IF(OR($B22="",'Oversikt'!O$8=""),0,SUMPRODUCT(('Innmelding'!$A$2:$A$701='Oversikt'!$C$4)*('Innmelding'!$B$2:$B$701='Oversikt'!$C$5)*('Innmelding'!$C$2:$C$701=$B22)*('Innmelding'!$D$2:$D$701='Oversikt'!O$8)*('Innmelding'!$H$2:$H$701&gt;0)))</f>
        <v/>
      </c>
      <c r="AM22">
        <f>IF(OR($B22="",'Oversikt'!P$8=""),0,SUMPRODUCT(('Innmelding'!$A$2:$A$701='Oversikt'!$C$4)*('Innmelding'!$B$2:$B$701='Oversikt'!$C$5)*('Innmelding'!$C$2:$C$701=$B22)*('Innmelding'!$D$2:$D$701='Oversikt'!P$8)*('Innmelding'!$H$2:$H$701&gt;0)))</f>
        <v/>
      </c>
      <c r="AN22">
        <f>IF(OR($B22="",'Oversikt'!Q$8=""),0,SUMPRODUCT(('Innmelding'!$A$2:$A$701='Oversikt'!$C$4)*('Innmelding'!$B$2:$B$701='Oversikt'!$C$5)*('Innmelding'!$C$2:$C$701=$B22)*('Innmelding'!$D$2:$D$701='Oversikt'!Q$8)*('Innmelding'!$H$2:$H$701&gt;0)))</f>
        <v/>
      </c>
    </row>
    <row r="23">
      <c r="A23" t="n">
        <v>22</v>
      </c>
      <c r="B23">
        <f>IFERROR(INDEX('Elevar'!$A$2:$AZ$41,$A23,MATCH('Oversikt'!$C$5,'Elevar'!$A$1:$AZ$1,0))&amp;"","")</f>
        <v/>
      </c>
      <c r="C23">
        <f>IF($B23="",-1-$A23/1000,COUNTIF($E23:$P23,3)*10000+COUNTIF($E23:$P23,2)*100+COUNTIF($E23:$P23,1)+(100-$A23)/1000)</f>
        <v/>
      </c>
      <c r="D23">
        <f>MATCH(LARGE($C$2:$C$41,$A23),$C$2:$C$41,0)</f>
        <v/>
      </c>
      <c r="E23">
        <f>IF(OR($B23="",'Oversikt'!F$8=""),0,SUMPRODUCT(MAX(('Innmelding'!$A$2:$A$701='Oversikt'!$C$4)*('Innmelding'!$B$2:$B$701='Oversikt'!$C$5)*('Innmelding'!$C$2:$C$701=$B23)*('Innmelding'!$D$2:$D$701='Oversikt'!F$8)*'Innmelding'!$H$2:$H$701)))</f>
        <v/>
      </c>
      <c r="F23">
        <f>IF(OR($B23="",'Oversikt'!G$8=""),0,SUMPRODUCT(MAX(('Innmelding'!$A$2:$A$701='Oversikt'!$C$4)*('Innmelding'!$B$2:$B$701='Oversikt'!$C$5)*('Innmelding'!$C$2:$C$701=$B23)*('Innmelding'!$D$2:$D$701='Oversikt'!G$8)*'Innmelding'!$H$2:$H$701)))</f>
        <v/>
      </c>
      <c r="G23">
        <f>IF(OR($B23="",'Oversikt'!H$8=""),0,SUMPRODUCT(MAX(('Innmelding'!$A$2:$A$701='Oversikt'!$C$4)*('Innmelding'!$B$2:$B$701='Oversikt'!$C$5)*('Innmelding'!$C$2:$C$701=$B23)*('Innmelding'!$D$2:$D$701='Oversikt'!H$8)*'Innmelding'!$H$2:$H$701)))</f>
        <v/>
      </c>
      <c r="H23">
        <f>IF(OR($B23="",'Oversikt'!I$8=""),0,SUMPRODUCT(MAX(('Innmelding'!$A$2:$A$701='Oversikt'!$C$4)*('Innmelding'!$B$2:$B$701='Oversikt'!$C$5)*('Innmelding'!$C$2:$C$701=$B23)*('Innmelding'!$D$2:$D$701='Oversikt'!I$8)*'Innmelding'!$H$2:$H$701)))</f>
        <v/>
      </c>
      <c r="I23">
        <f>IF(OR($B23="",'Oversikt'!J$8=""),0,SUMPRODUCT(MAX(('Innmelding'!$A$2:$A$701='Oversikt'!$C$4)*('Innmelding'!$B$2:$B$701='Oversikt'!$C$5)*('Innmelding'!$C$2:$C$701=$B23)*('Innmelding'!$D$2:$D$701='Oversikt'!J$8)*'Innmelding'!$H$2:$H$701)))</f>
        <v/>
      </c>
      <c r="J23">
        <f>IF(OR($B23="",'Oversikt'!K$8=""),0,SUMPRODUCT(MAX(('Innmelding'!$A$2:$A$701='Oversikt'!$C$4)*('Innmelding'!$B$2:$B$701='Oversikt'!$C$5)*('Innmelding'!$C$2:$C$701=$B23)*('Innmelding'!$D$2:$D$701='Oversikt'!K$8)*'Innmelding'!$H$2:$H$701)))</f>
        <v/>
      </c>
      <c r="K23">
        <f>IF(OR($B23="",'Oversikt'!L$8=""),0,SUMPRODUCT(MAX(('Innmelding'!$A$2:$A$701='Oversikt'!$C$4)*('Innmelding'!$B$2:$B$701='Oversikt'!$C$5)*('Innmelding'!$C$2:$C$701=$B23)*('Innmelding'!$D$2:$D$701='Oversikt'!L$8)*'Innmelding'!$H$2:$H$701)))</f>
        <v/>
      </c>
      <c r="L23">
        <f>IF(OR($B23="",'Oversikt'!M$8=""),0,SUMPRODUCT(MAX(('Innmelding'!$A$2:$A$701='Oversikt'!$C$4)*('Innmelding'!$B$2:$B$701='Oversikt'!$C$5)*('Innmelding'!$C$2:$C$701=$B23)*('Innmelding'!$D$2:$D$701='Oversikt'!M$8)*'Innmelding'!$H$2:$H$701)))</f>
        <v/>
      </c>
      <c r="M23">
        <f>IF(OR($B23="",'Oversikt'!N$8=""),0,SUMPRODUCT(MAX(('Innmelding'!$A$2:$A$701='Oversikt'!$C$4)*('Innmelding'!$B$2:$B$701='Oversikt'!$C$5)*('Innmelding'!$C$2:$C$701=$B23)*('Innmelding'!$D$2:$D$701='Oversikt'!N$8)*'Innmelding'!$H$2:$H$701)))</f>
        <v/>
      </c>
      <c r="N23">
        <f>IF(OR($B23="",'Oversikt'!O$8=""),0,SUMPRODUCT(MAX(('Innmelding'!$A$2:$A$701='Oversikt'!$C$4)*('Innmelding'!$B$2:$B$701='Oversikt'!$C$5)*('Innmelding'!$C$2:$C$701=$B23)*('Innmelding'!$D$2:$D$701='Oversikt'!O$8)*'Innmelding'!$H$2:$H$701)))</f>
        <v/>
      </c>
      <c r="O23">
        <f>IF(OR($B23="",'Oversikt'!P$8=""),0,SUMPRODUCT(MAX(('Innmelding'!$A$2:$A$701='Oversikt'!$C$4)*('Innmelding'!$B$2:$B$701='Oversikt'!$C$5)*('Innmelding'!$C$2:$C$701=$B23)*('Innmelding'!$D$2:$D$701='Oversikt'!P$8)*'Innmelding'!$H$2:$H$701)))</f>
        <v/>
      </c>
      <c r="P23">
        <f>IF(OR($B23="",'Oversikt'!Q$8=""),0,SUMPRODUCT(MAX(('Innmelding'!$A$2:$A$701='Oversikt'!$C$4)*('Innmelding'!$B$2:$B$701='Oversikt'!$C$5)*('Innmelding'!$C$2:$C$701=$B23)*('Innmelding'!$D$2:$D$701='Oversikt'!Q$8)*'Innmelding'!$H$2:$H$701)))</f>
        <v/>
      </c>
      <c r="Q23">
        <f>IF(OR($B23="",'Oversikt'!F$8="",'Oversikt'!$C$6=""),0,SUMPRODUCT(MAX(('Innmelding'!$A$2:$A$701='Oversikt'!$C$6)*('Innmelding'!$B$2:$B$701='Oversikt'!$C$5)*('Innmelding'!$C$2:$C$701=$B23)*('Innmelding'!$D$2:$D$701='Oversikt'!F$8)*'Innmelding'!$H$2:$H$701)))</f>
        <v/>
      </c>
      <c r="R23">
        <f>IF(OR($B23="",'Oversikt'!G$8="",'Oversikt'!$C$6=""),0,SUMPRODUCT(MAX(('Innmelding'!$A$2:$A$701='Oversikt'!$C$6)*('Innmelding'!$B$2:$B$701='Oversikt'!$C$5)*('Innmelding'!$C$2:$C$701=$B23)*('Innmelding'!$D$2:$D$701='Oversikt'!G$8)*'Innmelding'!$H$2:$H$701)))</f>
        <v/>
      </c>
      <c r="S23">
        <f>IF(OR($B23="",'Oversikt'!H$8="",'Oversikt'!$C$6=""),0,SUMPRODUCT(MAX(('Innmelding'!$A$2:$A$701='Oversikt'!$C$6)*('Innmelding'!$B$2:$B$701='Oversikt'!$C$5)*('Innmelding'!$C$2:$C$701=$B23)*('Innmelding'!$D$2:$D$701='Oversikt'!H$8)*'Innmelding'!$H$2:$H$701)))</f>
        <v/>
      </c>
      <c r="T23">
        <f>IF(OR($B23="",'Oversikt'!I$8="",'Oversikt'!$C$6=""),0,SUMPRODUCT(MAX(('Innmelding'!$A$2:$A$701='Oversikt'!$C$6)*('Innmelding'!$B$2:$B$701='Oversikt'!$C$5)*('Innmelding'!$C$2:$C$701=$B23)*('Innmelding'!$D$2:$D$701='Oversikt'!I$8)*'Innmelding'!$H$2:$H$701)))</f>
        <v/>
      </c>
      <c r="U23">
        <f>IF(OR($B23="",'Oversikt'!J$8="",'Oversikt'!$C$6=""),0,SUMPRODUCT(MAX(('Innmelding'!$A$2:$A$701='Oversikt'!$C$6)*('Innmelding'!$B$2:$B$701='Oversikt'!$C$5)*('Innmelding'!$C$2:$C$701=$B23)*('Innmelding'!$D$2:$D$701='Oversikt'!J$8)*'Innmelding'!$H$2:$H$701)))</f>
        <v/>
      </c>
      <c r="V23">
        <f>IF(OR($B23="",'Oversikt'!K$8="",'Oversikt'!$C$6=""),0,SUMPRODUCT(MAX(('Innmelding'!$A$2:$A$701='Oversikt'!$C$6)*('Innmelding'!$B$2:$B$701='Oversikt'!$C$5)*('Innmelding'!$C$2:$C$701=$B23)*('Innmelding'!$D$2:$D$701='Oversikt'!K$8)*'Innmelding'!$H$2:$H$701)))</f>
        <v/>
      </c>
      <c r="W23">
        <f>IF(OR($B23="",'Oversikt'!L$8="",'Oversikt'!$C$6=""),0,SUMPRODUCT(MAX(('Innmelding'!$A$2:$A$701='Oversikt'!$C$6)*('Innmelding'!$B$2:$B$701='Oversikt'!$C$5)*('Innmelding'!$C$2:$C$701=$B23)*('Innmelding'!$D$2:$D$701='Oversikt'!L$8)*'Innmelding'!$H$2:$H$701)))</f>
        <v/>
      </c>
      <c r="X23">
        <f>IF(OR($B23="",'Oversikt'!M$8="",'Oversikt'!$C$6=""),0,SUMPRODUCT(MAX(('Innmelding'!$A$2:$A$701='Oversikt'!$C$6)*('Innmelding'!$B$2:$B$701='Oversikt'!$C$5)*('Innmelding'!$C$2:$C$701=$B23)*('Innmelding'!$D$2:$D$701='Oversikt'!M$8)*'Innmelding'!$H$2:$H$701)))</f>
        <v/>
      </c>
      <c r="Y23">
        <f>IF(OR($B23="",'Oversikt'!N$8="",'Oversikt'!$C$6=""),0,SUMPRODUCT(MAX(('Innmelding'!$A$2:$A$701='Oversikt'!$C$6)*('Innmelding'!$B$2:$B$701='Oversikt'!$C$5)*('Innmelding'!$C$2:$C$701=$B23)*('Innmelding'!$D$2:$D$701='Oversikt'!N$8)*'Innmelding'!$H$2:$H$701)))</f>
        <v/>
      </c>
      <c r="Z23">
        <f>IF(OR($B23="",'Oversikt'!O$8="",'Oversikt'!$C$6=""),0,SUMPRODUCT(MAX(('Innmelding'!$A$2:$A$701='Oversikt'!$C$6)*('Innmelding'!$B$2:$B$701='Oversikt'!$C$5)*('Innmelding'!$C$2:$C$701=$B23)*('Innmelding'!$D$2:$D$701='Oversikt'!O$8)*'Innmelding'!$H$2:$H$701)))</f>
        <v/>
      </c>
      <c r="AA23">
        <f>IF(OR($B23="",'Oversikt'!P$8="",'Oversikt'!$C$6=""),0,SUMPRODUCT(MAX(('Innmelding'!$A$2:$A$701='Oversikt'!$C$6)*('Innmelding'!$B$2:$B$701='Oversikt'!$C$5)*('Innmelding'!$C$2:$C$701=$B23)*('Innmelding'!$D$2:$D$701='Oversikt'!P$8)*'Innmelding'!$H$2:$H$701)))</f>
        <v/>
      </c>
      <c r="AB23">
        <f>IF(OR($B23="",'Oversikt'!Q$8="",'Oversikt'!$C$6=""),0,SUMPRODUCT(MAX(('Innmelding'!$A$2:$A$701='Oversikt'!$C$6)*('Innmelding'!$B$2:$B$701='Oversikt'!$C$5)*('Innmelding'!$C$2:$C$701=$B23)*('Innmelding'!$D$2:$D$701='Oversikt'!Q$8)*'Innmelding'!$H$2:$H$701)))</f>
        <v/>
      </c>
      <c r="AC23">
        <f>IF(OR($B23="",'Oversikt'!F$8=""),0,SUMPRODUCT(('Innmelding'!$A$2:$A$701='Oversikt'!$C$4)*('Innmelding'!$B$2:$B$701='Oversikt'!$C$5)*('Innmelding'!$C$2:$C$701=$B23)*('Innmelding'!$D$2:$D$701='Oversikt'!F$8)*('Innmelding'!$H$2:$H$701&gt;0)))</f>
        <v/>
      </c>
      <c r="AD23">
        <f>IF(OR($B23="",'Oversikt'!G$8=""),0,SUMPRODUCT(('Innmelding'!$A$2:$A$701='Oversikt'!$C$4)*('Innmelding'!$B$2:$B$701='Oversikt'!$C$5)*('Innmelding'!$C$2:$C$701=$B23)*('Innmelding'!$D$2:$D$701='Oversikt'!G$8)*('Innmelding'!$H$2:$H$701&gt;0)))</f>
        <v/>
      </c>
      <c r="AE23">
        <f>IF(OR($B23="",'Oversikt'!H$8=""),0,SUMPRODUCT(('Innmelding'!$A$2:$A$701='Oversikt'!$C$4)*('Innmelding'!$B$2:$B$701='Oversikt'!$C$5)*('Innmelding'!$C$2:$C$701=$B23)*('Innmelding'!$D$2:$D$701='Oversikt'!H$8)*('Innmelding'!$H$2:$H$701&gt;0)))</f>
        <v/>
      </c>
      <c r="AF23">
        <f>IF(OR($B23="",'Oversikt'!I$8=""),0,SUMPRODUCT(('Innmelding'!$A$2:$A$701='Oversikt'!$C$4)*('Innmelding'!$B$2:$B$701='Oversikt'!$C$5)*('Innmelding'!$C$2:$C$701=$B23)*('Innmelding'!$D$2:$D$701='Oversikt'!I$8)*('Innmelding'!$H$2:$H$701&gt;0)))</f>
        <v/>
      </c>
      <c r="AG23">
        <f>IF(OR($B23="",'Oversikt'!J$8=""),0,SUMPRODUCT(('Innmelding'!$A$2:$A$701='Oversikt'!$C$4)*('Innmelding'!$B$2:$B$701='Oversikt'!$C$5)*('Innmelding'!$C$2:$C$701=$B23)*('Innmelding'!$D$2:$D$701='Oversikt'!J$8)*('Innmelding'!$H$2:$H$701&gt;0)))</f>
        <v/>
      </c>
      <c r="AH23">
        <f>IF(OR($B23="",'Oversikt'!K$8=""),0,SUMPRODUCT(('Innmelding'!$A$2:$A$701='Oversikt'!$C$4)*('Innmelding'!$B$2:$B$701='Oversikt'!$C$5)*('Innmelding'!$C$2:$C$701=$B23)*('Innmelding'!$D$2:$D$701='Oversikt'!K$8)*('Innmelding'!$H$2:$H$701&gt;0)))</f>
        <v/>
      </c>
      <c r="AI23">
        <f>IF(OR($B23="",'Oversikt'!L$8=""),0,SUMPRODUCT(('Innmelding'!$A$2:$A$701='Oversikt'!$C$4)*('Innmelding'!$B$2:$B$701='Oversikt'!$C$5)*('Innmelding'!$C$2:$C$701=$B23)*('Innmelding'!$D$2:$D$701='Oversikt'!L$8)*('Innmelding'!$H$2:$H$701&gt;0)))</f>
        <v/>
      </c>
      <c r="AJ23">
        <f>IF(OR($B23="",'Oversikt'!M$8=""),0,SUMPRODUCT(('Innmelding'!$A$2:$A$701='Oversikt'!$C$4)*('Innmelding'!$B$2:$B$701='Oversikt'!$C$5)*('Innmelding'!$C$2:$C$701=$B23)*('Innmelding'!$D$2:$D$701='Oversikt'!M$8)*('Innmelding'!$H$2:$H$701&gt;0)))</f>
        <v/>
      </c>
      <c r="AK23">
        <f>IF(OR($B23="",'Oversikt'!N$8=""),0,SUMPRODUCT(('Innmelding'!$A$2:$A$701='Oversikt'!$C$4)*('Innmelding'!$B$2:$B$701='Oversikt'!$C$5)*('Innmelding'!$C$2:$C$701=$B23)*('Innmelding'!$D$2:$D$701='Oversikt'!N$8)*('Innmelding'!$H$2:$H$701&gt;0)))</f>
        <v/>
      </c>
      <c r="AL23">
        <f>IF(OR($B23="",'Oversikt'!O$8=""),0,SUMPRODUCT(('Innmelding'!$A$2:$A$701='Oversikt'!$C$4)*('Innmelding'!$B$2:$B$701='Oversikt'!$C$5)*('Innmelding'!$C$2:$C$701=$B23)*('Innmelding'!$D$2:$D$701='Oversikt'!O$8)*('Innmelding'!$H$2:$H$701&gt;0)))</f>
        <v/>
      </c>
      <c r="AM23">
        <f>IF(OR($B23="",'Oversikt'!P$8=""),0,SUMPRODUCT(('Innmelding'!$A$2:$A$701='Oversikt'!$C$4)*('Innmelding'!$B$2:$B$701='Oversikt'!$C$5)*('Innmelding'!$C$2:$C$701=$B23)*('Innmelding'!$D$2:$D$701='Oversikt'!P$8)*('Innmelding'!$H$2:$H$701&gt;0)))</f>
        <v/>
      </c>
      <c r="AN23">
        <f>IF(OR($B23="",'Oversikt'!Q$8=""),0,SUMPRODUCT(('Innmelding'!$A$2:$A$701='Oversikt'!$C$4)*('Innmelding'!$B$2:$B$701='Oversikt'!$C$5)*('Innmelding'!$C$2:$C$701=$B23)*('Innmelding'!$D$2:$D$701='Oversikt'!Q$8)*('Innmelding'!$H$2:$H$701&gt;0)))</f>
        <v/>
      </c>
    </row>
    <row r="24">
      <c r="A24" t="n">
        <v>23</v>
      </c>
      <c r="B24">
        <f>IFERROR(INDEX('Elevar'!$A$2:$AZ$41,$A24,MATCH('Oversikt'!$C$5,'Elevar'!$A$1:$AZ$1,0))&amp;"","")</f>
        <v/>
      </c>
      <c r="C24">
        <f>IF($B24="",-1-$A24/1000,COUNTIF($E24:$P24,3)*10000+COUNTIF($E24:$P24,2)*100+COUNTIF($E24:$P24,1)+(100-$A24)/1000)</f>
        <v/>
      </c>
      <c r="D24">
        <f>MATCH(LARGE($C$2:$C$41,$A24),$C$2:$C$41,0)</f>
        <v/>
      </c>
      <c r="E24">
        <f>IF(OR($B24="",'Oversikt'!F$8=""),0,SUMPRODUCT(MAX(('Innmelding'!$A$2:$A$701='Oversikt'!$C$4)*('Innmelding'!$B$2:$B$701='Oversikt'!$C$5)*('Innmelding'!$C$2:$C$701=$B24)*('Innmelding'!$D$2:$D$701='Oversikt'!F$8)*'Innmelding'!$H$2:$H$701)))</f>
        <v/>
      </c>
      <c r="F24">
        <f>IF(OR($B24="",'Oversikt'!G$8=""),0,SUMPRODUCT(MAX(('Innmelding'!$A$2:$A$701='Oversikt'!$C$4)*('Innmelding'!$B$2:$B$701='Oversikt'!$C$5)*('Innmelding'!$C$2:$C$701=$B24)*('Innmelding'!$D$2:$D$701='Oversikt'!G$8)*'Innmelding'!$H$2:$H$701)))</f>
        <v/>
      </c>
      <c r="G24">
        <f>IF(OR($B24="",'Oversikt'!H$8=""),0,SUMPRODUCT(MAX(('Innmelding'!$A$2:$A$701='Oversikt'!$C$4)*('Innmelding'!$B$2:$B$701='Oversikt'!$C$5)*('Innmelding'!$C$2:$C$701=$B24)*('Innmelding'!$D$2:$D$701='Oversikt'!H$8)*'Innmelding'!$H$2:$H$701)))</f>
        <v/>
      </c>
      <c r="H24">
        <f>IF(OR($B24="",'Oversikt'!I$8=""),0,SUMPRODUCT(MAX(('Innmelding'!$A$2:$A$701='Oversikt'!$C$4)*('Innmelding'!$B$2:$B$701='Oversikt'!$C$5)*('Innmelding'!$C$2:$C$701=$B24)*('Innmelding'!$D$2:$D$701='Oversikt'!I$8)*'Innmelding'!$H$2:$H$701)))</f>
        <v/>
      </c>
      <c r="I24">
        <f>IF(OR($B24="",'Oversikt'!J$8=""),0,SUMPRODUCT(MAX(('Innmelding'!$A$2:$A$701='Oversikt'!$C$4)*('Innmelding'!$B$2:$B$701='Oversikt'!$C$5)*('Innmelding'!$C$2:$C$701=$B24)*('Innmelding'!$D$2:$D$701='Oversikt'!J$8)*'Innmelding'!$H$2:$H$701)))</f>
        <v/>
      </c>
      <c r="J24">
        <f>IF(OR($B24="",'Oversikt'!K$8=""),0,SUMPRODUCT(MAX(('Innmelding'!$A$2:$A$701='Oversikt'!$C$4)*('Innmelding'!$B$2:$B$701='Oversikt'!$C$5)*('Innmelding'!$C$2:$C$701=$B24)*('Innmelding'!$D$2:$D$701='Oversikt'!K$8)*'Innmelding'!$H$2:$H$701)))</f>
        <v/>
      </c>
      <c r="K24">
        <f>IF(OR($B24="",'Oversikt'!L$8=""),0,SUMPRODUCT(MAX(('Innmelding'!$A$2:$A$701='Oversikt'!$C$4)*('Innmelding'!$B$2:$B$701='Oversikt'!$C$5)*('Innmelding'!$C$2:$C$701=$B24)*('Innmelding'!$D$2:$D$701='Oversikt'!L$8)*'Innmelding'!$H$2:$H$701)))</f>
        <v/>
      </c>
      <c r="L24">
        <f>IF(OR($B24="",'Oversikt'!M$8=""),0,SUMPRODUCT(MAX(('Innmelding'!$A$2:$A$701='Oversikt'!$C$4)*('Innmelding'!$B$2:$B$701='Oversikt'!$C$5)*('Innmelding'!$C$2:$C$701=$B24)*('Innmelding'!$D$2:$D$701='Oversikt'!M$8)*'Innmelding'!$H$2:$H$701)))</f>
        <v/>
      </c>
      <c r="M24">
        <f>IF(OR($B24="",'Oversikt'!N$8=""),0,SUMPRODUCT(MAX(('Innmelding'!$A$2:$A$701='Oversikt'!$C$4)*('Innmelding'!$B$2:$B$701='Oversikt'!$C$5)*('Innmelding'!$C$2:$C$701=$B24)*('Innmelding'!$D$2:$D$701='Oversikt'!N$8)*'Innmelding'!$H$2:$H$701)))</f>
        <v/>
      </c>
      <c r="N24">
        <f>IF(OR($B24="",'Oversikt'!O$8=""),0,SUMPRODUCT(MAX(('Innmelding'!$A$2:$A$701='Oversikt'!$C$4)*('Innmelding'!$B$2:$B$701='Oversikt'!$C$5)*('Innmelding'!$C$2:$C$701=$B24)*('Innmelding'!$D$2:$D$701='Oversikt'!O$8)*'Innmelding'!$H$2:$H$701)))</f>
        <v/>
      </c>
      <c r="O24">
        <f>IF(OR($B24="",'Oversikt'!P$8=""),0,SUMPRODUCT(MAX(('Innmelding'!$A$2:$A$701='Oversikt'!$C$4)*('Innmelding'!$B$2:$B$701='Oversikt'!$C$5)*('Innmelding'!$C$2:$C$701=$B24)*('Innmelding'!$D$2:$D$701='Oversikt'!P$8)*'Innmelding'!$H$2:$H$701)))</f>
        <v/>
      </c>
      <c r="P24">
        <f>IF(OR($B24="",'Oversikt'!Q$8=""),0,SUMPRODUCT(MAX(('Innmelding'!$A$2:$A$701='Oversikt'!$C$4)*('Innmelding'!$B$2:$B$701='Oversikt'!$C$5)*('Innmelding'!$C$2:$C$701=$B24)*('Innmelding'!$D$2:$D$701='Oversikt'!Q$8)*'Innmelding'!$H$2:$H$701)))</f>
        <v/>
      </c>
      <c r="Q24">
        <f>IF(OR($B24="",'Oversikt'!F$8="",'Oversikt'!$C$6=""),0,SUMPRODUCT(MAX(('Innmelding'!$A$2:$A$701='Oversikt'!$C$6)*('Innmelding'!$B$2:$B$701='Oversikt'!$C$5)*('Innmelding'!$C$2:$C$701=$B24)*('Innmelding'!$D$2:$D$701='Oversikt'!F$8)*'Innmelding'!$H$2:$H$701)))</f>
        <v/>
      </c>
      <c r="R24">
        <f>IF(OR($B24="",'Oversikt'!G$8="",'Oversikt'!$C$6=""),0,SUMPRODUCT(MAX(('Innmelding'!$A$2:$A$701='Oversikt'!$C$6)*('Innmelding'!$B$2:$B$701='Oversikt'!$C$5)*('Innmelding'!$C$2:$C$701=$B24)*('Innmelding'!$D$2:$D$701='Oversikt'!G$8)*'Innmelding'!$H$2:$H$701)))</f>
        <v/>
      </c>
      <c r="S24">
        <f>IF(OR($B24="",'Oversikt'!H$8="",'Oversikt'!$C$6=""),0,SUMPRODUCT(MAX(('Innmelding'!$A$2:$A$701='Oversikt'!$C$6)*('Innmelding'!$B$2:$B$701='Oversikt'!$C$5)*('Innmelding'!$C$2:$C$701=$B24)*('Innmelding'!$D$2:$D$701='Oversikt'!H$8)*'Innmelding'!$H$2:$H$701)))</f>
        <v/>
      </c>
      <c r="T24">
        <f>IF(OR($B24="",'Oversikt'!I$8="",'Oversikt'!$C$6=""),0,SUMPRODUCT(MAX(('Innmelding'!$A$2:$A$701='Oversikt'!$C$6)*('Innmelding'!$B$2:$B$701='Oversikt'!$C$5)*('Innmelding'!$C$2:$C$701=$B24)*('Innmelding'!$D$2:$D$701='Oversikt'!I$8)*'Innmelding'!$H$2:$H$701)))</f>
        <v/>
      </c>
      <c r="U24">
        <f>IF(OR($B24="",'Oversikt'!J$8="",'Oversikt'!$C$6=""),0,SUMPRODUCT(MAX(('Innmelding'!$A$2:$A$701='Oversikt'!$C$6)*('Innmelding'!$B$2:$B$701='Oversikt'!$C$5)*('Innmelding'!$C$2:$C$701=$B24)*('Innmelding'!$D$2:$D$701='Oversikt'!J$8)*'Innmelding'!$H$2:$H$701)))</f>
        <v/>
      </c>
      <c r="V24">
        <f>IF(OR($B24="",'Oversikt'!K$8="",'Oversikt'!$C$6=""),0,SUMPRODUCT(MAX(('Innmelding'!$A$2:$A$701='Oversikt'!$C$6)*('Innmelding'!$B$2:$B$701='Oversikt'!$C$5)*('Innmelding'!$C$2:$C$701=$B24)*('Innmelding'!$D$2:$D$701='Oversikt'!K$8)*'Innmelding'!$H$2:$H$701)))</f>
        <v/>
      </c>
      <c r="W24">
        <f>IF(OR($B24="",'Oversikt'!L$8="",'Oversikt'!$C$6=""),0,SUMPRODUCT(MAX(('Innmelding'!$A$2:$A$701='Oversikt'!$C$6)*('Innmelding'!$B$2:$B$701='Oversikt'!$C$5)*('Innmelding'!$C$2:$C$701=$B24)*('Innmelding'!$D$2:$D$701='Oversikt'!L$8)*'Innmelding'!$H$2:$H$701)))</f>
        <v/>
      </c>
      <c r="X24">
        <f>IF(OR($B24="",'Oversikt'!M$8="",'Oversikt'!$C$6=""),0,SUMPRODUCT(MAX(('Innmelding'!$A$2:$A$701='Oversikt'!$C$6)*('Innmelding'!$B$2:$B$701='Oversikt'!$C$5)*('Innmelding'!$C$2:$C$701=$B24)*('Innmelding'!$D$2:$D$701='Oversikt'!M$8)*'Innmelding'!$H$2:$H$701)))</f>
        <v/>
      </c>
      <c r="Y24">
        <f>IF(OR($B24="",'Oversikt'!N$8="",'Oversikt'!$C$6=""),0,SUMPRODUCT(MAX(('Innmelding'!$A$2:$A$701='Oversikt'!$C$6)*('Innmelding'!$B$2:$B$701='Oversikt'!$C$5)*('Innmelding'!$C$2:$C$701=$B24)*('Innmelding'!$D$2:$D$701='Oversikt'!N$8)*'Innmelding'!$H$2:$H$701)))</f>
        <v/>
      </c>
      <c r="Z24">
        <f>IF(OR($B24="",'Oversikt'!O$8="",'Oversikt'!$C$6=""),0,SUMPRODUCT(MAX(('Innmelding'!$A$2:$A$701='Oversikt'!$C$6)*('Innmelding'!$B$2:$B$701='Oversikt'!$C$5)*('Innmelding'!$C$2:$C$701=$B24)*('Innmelding'!$D$2:$D$701='Oversikt'!O$8)*'Innmelding'!$H$2:$H$701)))</f>
        <v/>
      </c>
      <c r="AA24">
        <f>IF(OR($B24="",'Oversikt'!P$8="",'Oversikt'!$C$6=""),0,SUMPRODUCT(MAX(('Innmelding'!$A$2:$A$701='Oversikt'!$C$6)*('Innmelding'!$B$2:$B$701='Oversikt'!$C$5)*('Innmelding'!$C$2:$C$701=$B24)*('Innmelding'!$D$2:$D$701='Oversikt'!P$8)*'Innmelding'!$H$2:$H$701)))</f>
        <v/>
      </c>
      <c r="AB24">
        <f>IF(OR($B24="",'Oversikt'!Q$8="",'Oversikt'!$C$6=""),0,SUMPRODUCT(MAX(('Innmelding'!$A$2:$A$701='Oversikt'!$C$6)*('Innmelding'!$B$2:$B$701='Oversikt'!$C$5)*('Innmelding'!$C$2:$C$701=$B24)*('Innmelding'!$D$2:$D$701='Oversikt'!Q$8)*'Innmelding'!$H$2:$H$701)))</f>
        <v/>
      </c>
      <c r="AC24">
        <f>IF(OR($B24="",'Oversikt'!F$8=""),0,SUMPRODUCT(('Innmelding'!$A$2:$A$701='Oversikt'!$C$4)*('Innmelding'!$B$2:$B$701='Oversikt'!$C$5)*('Innmelding'!$C$2:$C$701=$B24)*('Innmelding'!$D$2:$D$701='Oversikt'!F$8)*('Innmelding'!$H$2:$H$701&gt;0)))</f>
        <v/>
      </c>
      <c r="AD24">
        <f>IF(OR($B24="",'Oversikt'!G$8=""),0,SUMPRODUCT(('Innmelding'!$A$2:$A$701='Oversikt'!$C$4)*('Innmelding'!$B$2:$B$701='Oversikt'!$C$5)*('Innmelding'!$C$2:$C$701=$B24)*('Innmelding'!$D$2:$D$701='Oversikt'!G$8)*('Innmelding'!$H$2:$H$701&gt;0)))</f>
        <v/>
      </c>
      <c r="AE24">
        <f>IF(OR($B24="",'Oversikt'!H$8=""),0,SUMPRODUCT(('Innmelding'!$A$2:$A$701='Oversikt'!$C$4)*('Innmelding'!$B$2:$B$701='Oversikt'!$C$5)*('Innmelding'!$C$2:$C$701=$B24)*('Innmelding'!$D$2:$D$701='Oversikt'!H$8)*('Innmelding'!$H$2:$H$701&gt;0)))</f>
        <v/>
      </c>
      <c r="AF24">
        <f>IF(OR($B24="",'Oversikt'!I$8=""),0,SUMPRODUCT(('Innmelding'!$A$2:$A$701='Oversikt'!$C$4)*('Innmelding'!$B$2:$B$701='Oversikt'!$C$5)*('Innmelding'!$C$2:$C$701=$B24)*('Innmelding'!$D$2:$D$701='Oversikt'!I$8)*('Innmelding'!$H$2:$H$701&gt;0)))</f>
        <v/>
      </c>
      <c r="AG24">
        <f>IF(OR($B24="",'Oversikt'!J$8=""),0,SUMPRODUCT(('Innmelding'!$A$2:$A$701='Oversikt'!$C$4)*('Innmelding'!$B$2:$B$701='Oversikt'!$C$5)*('Innmelding'!$C$2:$C$701=$B24)*('Innmelding'!$D$2:$D$701='Oversikt'!J$8)*('Innmelding'!$H$2:$H$701&gt;0)))</f>
        <v/>
      </c>
      <c r="AH24">
        <f>IF(OR($B24="",'Oversikt'!K$8=""),0,SUMPRODUCT(('Innmelding'!$A$2:$A$701='Oversikt'!$C$4)*('Innmelding'!$B$2:$B$701='Oversikt'!$C$5)*('Innmelding'!$C$2:$C$701=$B24)*('Innmelding'!$D$2:$D$701='Oversikt'!K$8)*('Innmelding'!$H$2:$H$701&gt;0)))</f>
        <v/>
      </c>
      <c r="AI24">
        <f>IF(OR($B24="",'Oversikt'!L$8=""),0,SUMPRODUCT(('Innmelding'!$A$2:$A$701='Oversikt'!$C$4)*('Innmelding'!$B$2:$B$701='Oversikt'!$C$5)*('Innmelding'!$C$2:$C$701=$B24)*('Innmelding'!$D$2:$D$701='Oversikt'!L$8)*('Innmelding'!$H$2:$H$701&gt;0)))</f>
        <v/>
      </c>
      <c r="AJ24">
        <f>IF(OR($B24="",'Oversikt'!M$8=""),0,SUMPRODUCT(('Innmelding'!$A$2:$A$701='Oversikt'!$C$4)*('Innmelding'!$B$2:$B$701='Oversikt'!$C$5)*('Innmelding'!$C$2:$C$701=$B24)*('Innmelding'!$D$2:$D$701='Oversikt'!M$8)*('Innmelding'!$H$2:$H$701&gt;0)))</f>
        <v/>
      </c>
      <c r="AK24">
        <f>IF(OR($B24="",'Oversikt'!N$8=""),0,SUMPRODUCT(('Innmelding'!$A$2:$A$701='Oversikt'!$C$4)*('Innmelding'!$B$2:$B$701='Oversikt'!$C$5)*('Innmelding'!$C$2:$C$701=$B24)*('Innmelding'!$D$2:$D$701='Oversikt'!N$8)*('Innmelding'!$H$2:$H$701&gt;0)))</f>
        <v/>
      </c>
      <c r="AL24">
        <f>IF(OR($B24="",'Oversikt'!O$8=""),0,SUMPRODUCT(('Innmelding'!$A$2:$A$701='Oversikt'!$C$4)*('Innmelding'!$B$2:$B$701='Oversikt'!$C$5)*('Innmelding'!$C$2:$C$701=$B24)*('Innmelding'!$D$2:$D$701='Oversikt'!O$8)*('Innmelding'!$H$2:$H$701&gt;0)))</f>
        <v/>
      </c>
      <c r="AM24">
        <f>IF(OR($B24="",'Oversikt'!P$8=""),0,SUMPRODUCT(('Innmelding'!$A$2:$A$701='Oversikt'!$C$4)*('Innmelding'!$B$2:$B$701='Oversikt'!$C$5)*('Innmelding'!$C$2:$C$701=$B24)*('Innmelding'!$D$2:$D$701='Oversikt'!P$8)*('Innmelding'!$H$2:$H$701&gt;0)))</f>
        <v/>
      </c>
      <c r="AN24">
        <f>IF(OR($B24="",'Oversikt'!Q$8=""),0,SUMPRODUCT(('Innmelding'!$A$2:$A$701='Oversikt'!$C$4)*('Innmelding'!$B$2:$B$701='Oversikt'!$C$5)*('Innmelding'!$C$2:$C$701=$B24)*('Innmelding'!$D$2:$D$701='Oversikt'!Q$8)*('Innmelding'!$H$2:$H$701&gt;0)))</f>
        <v/>
      </c>
    </row>
    <row r="25">
      <c r="A25" t="n">
        <v>24</v>
      </c>
      <c r="B25">
        <f>IFERROR(INDEX('Elevar'!$A$2:$AZ$41,$A25,MATCH('Oversikt'!$C$5,'Elevar'!$A$1:$AZ$1,0))&amp;"","")</f>
        <v/>
      </c>
      <c r="C25">
        <f>IF($B25="",-1-$A25/1000,COUNTIF($E25:$P25,3)*10000+COUNTIF($E25:$P25,2)*100+COUNTIF($E25:$P25,1)+(100-$A25)/1000)</f>
        <v/>
      </c>
      <c r="D25">
        <f>MATCH(LARGE($C$2:$C$41,$A25),$C$2:$C$41,0)</f>
        <v/>
      </c>
      <c r="E25">
        <f>IF(OR($B25="",'Oversikt'!F$8=""),0,SUMPRODUCT(MAX(('Innmelding'!$A$2:$A$701='Oversikt'!$C$4)*('Innmelding'!$B$2:$B$701='Oversikt'!$C$5)*('Innmelding'!$C$2:$C$701=$B25)*('Innmelding'!$D$2:$D$701='Oversikt'!F$8)*'Innmelding'!$H$2:$H$701)))</f>
        <v/>
      </c>
      <c r="F25">
        <f>IF(OR($B25="",'Oversikt'!G$8=""),0,SUMPRODUCT(MAX(('Innmelding'!$A$2:$A$701='Oversikt'!$C$4)*('Innmelding'!$B$2:$B$701='Oversikt'!$C$5)*('Innmelding'!$C$2:$C$701=$B25)*('Innmelding'!$D$2:$D$701='Oversikt'!G$8)*'Innmelding'!$H$2:$H$701)))</f>
        <v/>
      </c>
      <c r="G25">
        <f>IF(OR($B25="",'Oversikt'!H$8=""),0,SUMPRODUCT(MAX(('Innmelding'!$A$2:$A$701='Oversikt'!$C$4)*('Innmelding'!$B$2:$B$701='Oversikt'!$C$5)*('Innmelding'!$C$2:$C$701=$B25)*('Innmelding'!$D$2:$D$701='Oversikt'!H$8)*'Innmelding'!$H$2:$H$701)))</f>
        <v/>
      </c>
      <c r="H25">
        <f>IF(OR($B25="",'Oversikt'!I$8=""),0,SUMPRODUCT(MAX(('Innmelding'!$A$2:$A$701='Oversikt'!$C$4)*('Innmelding'!$B$2:$B$701='Oversikt'!$C$5)*('Innmelding'!$C$2:$C$701=$B25)*('Innmelding'!$D$2:$D$701='Oversikt'!I$8)*'Innmelding'!$H$2:$H$701)))</f>
        <v/>
      </c>
      <c r="I25">
        <f>IF(OR($B25="",'Oversikt'!J$8=""),0,SUMPRODUCT(MAX(('Innmelding'!$A$2:$A$701='Oversikt'!$C$4)*('Innmelding'!$B$2:$B$701='Oversikt'!$C$5)*('Innmelding'!$C$2:$C$701=$B25)*('Innmelding'!$D$2:$D$701='Oversikt'!J$8)*'Innmelding'!$H$2:$H$701)))</f>
        <v/>
      </c>
      <c r="J25">
        <f>IF(OR($B25="",'Oversikt'!K$8=""),0,SUMPRODUCT(MAX(('Innmelding'!$A$2:$A$701='Oversikt'!$C$4)*('Innmelding'!$B$2:$B$701='Oversikt'!$C$5)*('Innmelding'!$C$2:$C$701=$B25)*('Innmelding'!$D$2:$D$701='Oversikt'!K$8)*'Innmelding'!$H$2:$H$701)))</f>
        <v/>
      </c>
      <c r="K25">
        <f>IF(OR($B25="",'Oversikt'!L$8=""),0,SUMPRODUCT(MAX(('Innmelding'!$A$2:$A$701='Oversikt'!$C$4)*('Innmelding'!$B$2:$B$701='Oversikt'!$C$5)*('Innmelding'!$C$2:$C$701=$B25)*('Innmelding'!$D$2:$D$701='Oversikt'!L$8)*'Innmelding'!$H$2:$H$701)))</f>
        <v/>
      </c>
      <c r="L25">
        <f>IF(OR($B25="",'Oversikt'!M$8=""),0,SUMPRODUCT(MAX(('Innmelding'!$A$2:$A$701='Oversikt'!$C$4)*('Innmelding'!$B$2:$B$701='Oversikt'!$C$5)*('Innmelding'!$C$2:$C$701=$B25)*('Innmelding'!$D$2:$D$701='Oversikt'!M$8)*'Innmelding'!$H$2:$H$701)))</f>
        <v/>
      </c>
      <c r="M25">
        <f>IF(OR($B25="",'Oversikt'!N$8=""),0,SUMPRODUCT(MAX(('Innmelding'!$A$2:$A$701='Oversikt'!$C$4)*('Innmelding'!$B$2:$B$701='Oversikt'!$C$5)*('Innmelding'!$C$2:$C$701=$B25)*('Innmelding'!$D$2:$D$701='Oversikt'!N$8)*'Innmelding'!$H$2:$H$701)))</f>
        <v/>
      </c>
      <c r="N25">
        <f>IF(OR($B25="",'Oversikt'!O$8=""),0,SUMPRODUCT(MAX(('Innmelding'!$A$2:$A$701='Oversikt'!$C$4)*('Innmelding'!$B$2:$B$701='Oversikt'!$C$5)*('Innmelding'!$C$2:$C$701=$B25)*('Innmelding'!$D$2:$D$701='Oversikt'!O$8)*'Innmelding'!$H$2:$H$701)))</f>
        <v/>
      </c>
      <c r="O25">
        <f>IF(OR($B25="",'Oversikt'!P$8=""),0,SUMPRODUCT(MAX(('Innmelding'!$A$2:$A$701='Oversikt'!$C$4)*('Innmelding'!$B$2:$B$701='Oversikt'!$C$5)*('Innmelding'!$C$2:$C$701=$B25)*('Innmelding'!$D$2:$D$701='Oversikt'!P$8)*'Innmelding'!$H$2:$H$701)))</f>
        <v/>
      </c>
      <c r="P25">
        <f>IF(OR($B25="",'Oversikt'!Q$8=""),0,SUMPRODUCT(MAX(('Innmelding'!$A$2:$A$701='Oversikt'!$C$4)*('Innmelding'!$B$2:$B$701='Oversikt'!$C$5)*('Innmelding'!$C$2:$C$701=$B25)*('Innmelding'!$D$2:$D$701='Oversikt'!Q$8)*'Innmelding'!$H$2:$H$701)))</f>
        <v/>
      </c>
      <c r="Q25">
        <f>IF(OR($B25="",'Oversikt'!F$8="",'Oversikt'!$C$6=""),0,SUMPRODUCT(MAX(('Innmelding'!$A$2:$A$701='Oversikt'!$C$6)*('Innmelding'!$B$2:$B$701='Oversikt'!$C$5)*('Innmelding'!$C$2:$C$701=$B25)*('Innmelding'!$D$2:$D$701='Oversikt'!F$8)*'Innmelding'!$H$2:$H$701)))</f>
        <v/>
      </c>
      <c r="R25">
        <f>IF(OR($B25="",'Oversikt'!G$8="",'Oversikt'!$C$6=""),0,SUMPRODUCT(MAX(('Innmelding'!$A$2:$A$701='Oversikt'!$C$6)*('Innmelding'!$B$2:$B$701='Oversikt'!$C$5)*('Innmelding'!$C$2:$C$701=$B25)*('Innmelding'!$D$2:$D$701='Oversikt'!G$8)*'Innmelding'!$H$2:$H$701)))</f>
        <v/>
      </c>
      <c r="S25">
        <f>IF(OR($B25="",'Oversikt'!H$8="",'Oversikt'!$C$6=""),0,SUMPRODUCT(MAX(('Innmelding'!$A$2:$A$701='Oversikt'!$C$6)*('Innmelding'!$B$2:$B$701='Oversikt'!$C$5)*('Innmelding'!$C$2:$C$701=$B25)*('Innmelding'!$D$2:$D$701='Oversikt'!H$8)*'Innmelding'!$H$2:$H$701)))</f>
        <v/>
      </c>
      <c r="T25">
        <f>IF(OR($B25="",'Oversikt'!I$8="",'Oversikt'!$C$6=""),0,SUMPRODUCT(MAX(('Innmelding'!$A$2:$A$701='Oversikt'!$C$6)*('Innmelding'!$B$2:$B$701='Oversikt'!$C$5)*('Innmelding'!$C$2:$C$701=$B25)*('Innmelding'!$D$2:$D$701='Oversikt'!I$8)*'Innmelding'!$H$2:$H$701)))</f>
        <v/>
      </c>
      <c r="U25">
        <f>IF(OR($B25="",'Oversikt'!J$8="",'Oversikt'!$C$6=""),0,SUMPRODUCT(MAX(('Innmelding'!$A$2:$A$701='Oversikt'!$C$6)*('Innmelding'!$B$2:$B$701='Oversikt'!$C$5)*('Innmelding'!$C$2:$C$701=$B25)*('Innmelding'!$D$2:$D$701='Oversikt'!J$8)*'Innmelding'!$H$2:$H$701)))</f>
        <v/>
      </c>
      <c r="V25">
        <f>IF(OR($B25="",'Oversikt'!K$8="",'Oversikt'!$C$6=""),0,SUMPRODUCT(MAX(('Innmelding'!$A$2:$A$701='Oversikt'!$C$6)*('Innmelding'!$B$2:$B$701='Oversikt'!$C$5)*('Innmelding'!$C$2:$C$701=$B25)*('Innmelding'!$D$2:$D$701='Oversikt'!K$8)*'Innmelding'!$H$2:$H$701)))</f>
        <v/>
      </c>
      <c r="W25">
        <f>IF(OR($B25="",'Oversikt'!L$8="",'Oversikt'!$C$6=""),0,SUMPRODUCT(MAX(('Innmelding'!$A$2:$A$701='Oversikt'!$C$6)*('Innmelding'!$B$2:$B$701='Oversikt'!$C$5)*('Innmelding'!$C$2:$C$701=$B25)*('Innmelding'!$D$2:$D$701='Oversikt'!L$8)*'Innmelding'!$H$2:$H$701)))</f>
        <v/>
      </c>
      <c r="X25">
        <f>IF(OR($B25="",'Oversikt'!M$8="",'Oversikt'!$C$6=""),0,SUMPRODUCT(MAX(('Innmelding'!$A$2:$A$701='Oversikt'!$C$6)*('Innmelding'!$B$2:$B$701='Oversikt'!$C$5)*('Innmelding'!$C$2:$C$701=$B25)*('Innmelding'!$D$2:$D$701='Oversikt'!M$8)*'Innmelding'!$H$2:$H$701)))</f>
        <v/>
      </c>
      <c r="Y25">
        <f>IF(OR($B25="",'Oversikt'!N$8="",'Oversikt'!$C$6=""),0,SUMPRODUCT(MAX(('Innmelding'!$A$2:$A$701='Oversikt'!$C$6)*('Innmelding'!$B$2:$B$701='Oversikt'!$C$5)*('Innmelding'!$C$2:$C$701=$B25)*('Innmelding'!$D$2:$D$701='Oversikt'!N$8)*'Innmelding'!$H$2:$H$701)))</f>
        <v/>
      </c>
      <c r="Z25">
        <f>IF(OR($B25="",'Oversikt'!O$8="",'Oversikt'!$C$6=""),0,SUMPRODUCT(MAX(('Innmelding'!$A$2:$A$701='Oversikt'!$C$6)*('Innmelding'!$B$2:$B$701='Oversikt'!$C$5)*('Innmelding'!$C$2:$C$701=$B25)*('Innmelding'!$D$2:$D$701='Oversikt'!O$8)*'Innmelding'!$H$2:$H$701)))</f>
        <v/>
      </c>
      <c r="AA25">
        <f>IF(OR($B25="",'Oversikt'!P$8="",'Oversikt'!$C$6=""),0,SUMPRODUCT(MAX(('Innmelding'!$A$2:$A$701='Oversikt'!$C$6)*('Innmelding'!$B$2:$B$701='Oversikt'!$C$5)*('Innmelding'!$C$2:$C$701=$B25)*('Innmelding'!$D$2:$D$701='Oversikt'!P$8)*'Innmelding'!$H$2:$H$701)))</f>
        <v/>
      </c>
      <c r="AB25">
        <f>IF(OR($B25="",'Oversikt'!Q$8="",'Oversikt'!$C$6=""),0,SUMPRODUCT(MAX(('Innmelding'!$A$2:$A$701='Oversikt'!$C$6)*('Innmelding'!$B$2:$B$701='Oversikt'!$C$5)*('Innmelding'!$C$2:$C$701=$B25)*('Innmelding'!$D$2:$D$701='Oversikt'!Q$8)*'Innmelding'!$H$2:$H$701)))</f>
        <v/>
      </c>
      <c r="AC25">
        <f>IF(OR($B25="",'Oversikt'!F$8=""),0,SUMPRODUCT(('Innmelding'!$A$2:$A$701='Oversikt'!$C$4)*('Innmelding'!$B$2:$B$701='Oversikt'!$C$5)*('Innmelding'!$C$2:$C$701=$B25)*('Innmelding'!$D$2:$D$701='Oversikt'!F$8)*('Innmelding'!$H$2:$H$701&gt;0)))</f>
        <v/>
      </c>
      <c r="AD25">
        <f>IF(OR($B25="",'Oversikt'!G$8=""),0,SUMPRODUCT(('Innmelding'!$A$2:$A$701='Oversikt'!$C$4)*('Innmelding'!$B$2:$B$701='Oversikt'!$C$5)*('Innmelding'!$C$2:$C$701=$B25)*('Innmelding'!$D$2:$D$701='Oversikt'!G$8)*('Innmelding'!$H$2:$H$701&gt;0)))</f>
        <v/>
      </c>
      <c r="AE25">
        <f>IF(OR($B25="",'Oversikt'!H$8=""),0,SUMPRODUCT(('Innmelding'!$A$2:$A$701='Oversikt'!$C$4)*('Innmelding'!$B$2:$B$701='Oversikt'!$C$5)*('Innmelding'!$C$2:$C$701=$B25)*('Innmelding'!$D$2:$D$701='Oversikt'!H$8)*('Innmelding'!$H$2:$H$701&gt;0)))</f>
        <v/>
      </c>
      <c r="AF25">
        <f>IF(OR($B25="",'Oversikt'!I$8=""),0,SUMPRODUCT(('Innmelding'!$A$2:$A$701='Oversikt'!$C$4)*('Innmelding'!$B$2:$B$701='Oversikt'!$C$5)*('Innmelding'!$C$2:$C$701=$B25)*('Innmelding'!$D$2:$D$701='Oversikt'!I$8)*('Innmelding'!$H$2:$H$701&gt;0)))</f>
        <v/>
      </c>
      <c r="AG25">
        <f>IF(OR($B25="",'Oversikt'!J$8=""),0,SUMPRODUCT(('Innmelding'!$A$2:$A$701='Oversikt'!$C$4)*('Innmelding'!$B$2:$B$701='Oversikt'!$C$5)*('Innmelding'!$C$2:$C$701=$B25)*('Innmelding'!$D$2:$D$701='Oversikt'!J$8)*('Innmelding'!$H$2:$H$701&gt;0)))</f>
        <v/>
      </c>
      <c r="AH25">
        <f>IF(OR($B25="",'Oversikt'!K$8=""),0,SUMPRODUCT(('Innmelding'!$A$2:$A$701='Oversikt'!$C$4)*('Innmelding'!$B$2:$B$701='Oversikt'!$C$5)*('Innmelding'!$C$2:$C$701=$B25)*('Innmelding'!$D$2:$D$701='Oversikt'!K$8)*('Innmelding'!$H$2:$H$701&gt;0)))</f>
        <v/>
      </c>
      <c r="AI25">
        <f>IF(OR($B25="",'Oversikt'!L$8=""),0,SUMPRODUCT(('Innmelding'!$A$2:$A$701='Oversikt'!$C$4)*('Innmelding'!$B$2:$B$701='Oversikt'!$C$5)*('Innmelding'!$C$2:$C$701=$B25)*('Innmelding'!$D$2:$D$701='Oversikt'!L$8)*('Innmelding'!$H$2:$H$701&gt;0)))</f>
        <v/>
      </c>
      <c r="AJ25">
        <f>IF(OR($B25="",'Oversikt'!M$8=""),0,SUMPRODUCT(('Innmelding'!$A$2:$A$701='Oversikt'!$C$4)*('Innmelding'!$B$2:$B$701='Oversikt'!$C$5)*('Innmelding'!$C$2:$C$701=$B25)*('Innmelding'!$D$2:$D$701='Oversikt'!M$8)*('Innmelding'!$H$2:$H$701&gt;0)))</f>
        <v/>
      </c>
      <c r="AK25">
        <f>IF(OR($B25="",'Oversikt'!N$8=""),0,SUMPRODUCT(('Innmelding'!$A$2:$A$701='Oversikt'!$C$4)*('Innmelding'!$B$2:$B$701='Oversikt'!$C$5)*('Innmelding'!$C$2:$C$701=$B25)*('Innmelding'!$D$2:$D$701='Oversikt'!N$8)*('Innmelding'!$H$2:$H$701&gt;0)))</f>
        <v/>
      </c>
      <c r="AL25">
        <f>IF(OR($B25="",'Oversikt'!O$8=""),0,SUMPRODUCT(('Innmelding'!$A$2:$A$701='Oversikt'!$C$4)*('Innmelding'!$B$2:$B$701='Oversikt'!$C$5)*('Innmelding'!$C$2:$C$701=$B25)*('Innmelding'!$D$2:$D$701='Oversikt'!O$8)*('Innmelding'!$H$2:$H$701&gt;0)))</f>
        <v/>
      </c>
      <c r="AM25">
        <f>IF(OR($B25="",'Oversikt'!P$8=""),0,SUMPRODUCT(('Innmelding'!$A$2:$A$701='Oversikt'!$C$4)*('Innmelding'!$B$2:$B$701='Oversikt'!$C$5)*('Innmelding'!$C$2:$C$701=$B25)*('Innmelding'!$D$2:$D$701='Oversikt'!P$8)*('Innmelding'!$H$2:$H$701&gt;0)))</f>
        <v/>
      </c>
      <c r="AN25">
        <f>IF(OR($B25="",'Oversikt'!Q$8=""),0,SUMPRODUCT(('Innmelding'!$A$2:$A$701='Oversikt'!$C$4)*('Innmelding'!$B$2:$B$701='Oversikt'!$C$5)*('Innmelding'!$C$2:$C$701=$B25)*('Innmelding'!$D$2:$D$701='Oversikt'!Q$8)*('Innmelding'!$H$2:$H$701&gt;0)))</f>
        <v/>
      </c>
    </row>
    <row r="26">
      <c r="A26" t="n">
        <v>25</v>
      </c>
      <c r="B26">
        <f>IFERROR(INDEX('Elevar'!$A$2:$AZ$41,$A26,MATCH('Oversikt'!$C$5,'Elevar'!$A$1:$AZ$1,0))&amp;"","")</f>
        <v/>
      </c>
      <c r="C26">
        <f>IF($B26="",-1-$A26/1000,COUNTIF($E26:$P26,3)*10000+COUNTIF($E26:$P26,2)*100+COUNTIF($E26:$P26,1)+(100-$A26)/1000)</f>
        <v/>
      </c>
      <c r="D26">
        <f>MATCH(LARGE($C$2:$C$41,$A26),$C$2:$C$41,0)</f>
        <v/>
      </c>
      <c r="E26">
        <f>IF(OR($B26="",'Oversikt'!F$8=""),0,SUMPRODUCT(MAX(('Innmelding'!$A$2:$A$701='Oversikt'!$C$4)*('Innmelding'!$B$2:$B$701='Oversikt'!$C$5)*('Innmelding'!$C$2:$C$701=$B26)*('Innmelding'!$D$2:$D$701='Oversikt'!F$8)*'Innmelding'!$H$2:$H$701)))</f>
        <v/>
      </c>
      <c r="F26">
        <f>IF(OR($B26="",'Oversikt'!G$8=""),0,SUMPRODUCT(MAX(('Innmelding'!$A$2:$A$701='Oversikt'!$C$4)*('Innmelding'!$B$2:$B$701='Oversikt'!$C$5)*('Innmelding'!$C$2:$C$701=$B26)*('Innmelding'!$D$2:$D$701='Oversikt'!G$8)*'Innmelding'!$H$2:$H$701)))</f>
        <v/>
      </c>
      <c r="G26">
        <f>IF(OR($B26="",'Oversikt'!H$8=""),0,SUMPRODUCT(MAX(('Innmelding'!$A$2:$A$701='Oversikt'!$C$4)*('Innmelding'!$B$2:$B$701='Oversikt'!$C$5)*('Innmelding'!$C$2:$C$701=$B26)*('Innmelding'!$D$2:$D$701='Oversikt'!H$8)*'Innmelding'!$H$2:$H$701)))</f>
        <v/>
      </c>
      <c r="H26">
        <f>IF(OR($B26="",'Oversikt'!I$8=""),0,SUMPRODUCT(MAX(('Innmelding'!$A$2:$A$701='Oversikt'!$C$4)*('Innmelding'!$B$2:$B$701='Oversikt'!$C$5)*('Innmelding'!$C$2:$C$701=$B26)*('Innmelding'!$D$2:$D$701='Oversikt'!I$8)*'Innmelding'!$H$2:$H$701)))</f>
        <v/>
      </c>
      <c r="I26">
        <f>IF(OR($B26="",'Oversikt'!J$8=""),0,SUMPRODUCT(MAX(('Innmelding'!$A$2:$A$701='Oversikt'!$C$4)*('Innmelding'!$B$2:$B$701='Oversikt'!$C$5)*('Innmelding'!$C$2:$C$701=$B26)*('Innmelding'!$D$2:$D$701='Oversikt'!J$8)*'Innmelding'!$H$2:$H$701)))</f>
        <v/>
      </c>
      <c r="J26">
        <f>IF(OR($B26="",'Oversikt'!K$8=""),0,SUMPRODUCT(MAX(('Innmelding'!$A$2:$A$701='Oversikt'!$C$4)*('Innmelding'!$B$2:$B$701='Oversikt'!$C$5)*('Innmelding'!$C$2:$C$701=$B26)*('Innmelding'!$D$2:$D$701='Oversikt'!K$8)*'Innmelding'!$H$2:$H$701)))</f>
        <v/>
      </c>
      <c r="K26">
        <f>IF(OR($B26="",'Oversikt'!L$8=""),0,SUMPRODUCT(MAX(('Innmelding'!$A$2:$A$701='Oversikt'!$C$4)*('Innmelding'!$B$2:$B$701='Oversikt'!$C$5)*('Innmelding'!$C$2:$C$701=$B26)*('Innmelding'!$D$2:$D$701='Oversikt'!L$8)*'Innmelding'!$H$2:$H$701)))</f>
        <v/>
      </c>
      <c r="L26">
        <f>IF(OR($B26="",'Oversikt'!M$8=""),0,SUMPRODUCT(MAX(('Innmelding'!$A$2:$A$701='Oversikt'!$C$4)*('Innmelding'!$B$2:$B$701='Oversikt'!$C$5)*('Innmelding'!$C$2:$C$701=$B26)*('Innmelding'!$D$2:$D$701='Oversikt'!M$8)*'Innmelding'!$H$2:$H$701)))</f>
        <v/>
      </c>
      <c r="M26">
        <f>IF(OR($B26="",'Oversikt'!N$8=""),0,SUMPRODUCT(MAX(('Innmelding'!$A$2:$A$701='Oversikt'!$C$4)*('Innmelding'!$B$2:$B$701='Oversikt'!$C$5)*('Innmelding'!$C$2:$C$701=$B26)*('Innmelding'!$D$2:$D$701='Oversikt'!N$8)*'Innmelding'!$H$2:$H$701)))</f>
        <v/>
      </c>
      <c r="N26">
        <f>IF(OR($B26="",'Oversikt'!O$8=""),0,SUMPRODUCT(MAX(('Innmelding'!$A$2:$A$701='Oversikt'!$C$4)*('Innmelding'!$B$2:$B$701='Oversikt'!$C$5)*('Innmelding'!$C$2:$C$701=$B26)*('Innmelding'!$D$2:$D$701='Oversikt'!O$8)*'Innmelding'!$H$2:$H$701)))</f>
        <v/>
      </c>
      <c r="O26">
        <f>IF(OR($B26="",'Oversikt'!P$8=""),0,SUMPRODUCT(MAX(('Innmelding'!$A$2:$A$701='Oversikt'!$C$4)*('Innmelding'!$B$2:$B$701='Oversikt'!$C$5)*('Innmelding'!$C$2:$C$701=$B26)*('Innmelding'!$D$2:$D$701='Oversikt'!P$8)*'Innmelding'!$H$2:$H$701)))</f>
        <v/>
      </c>
      <c r="P26">
        <f>IF(OR($B26="",'Oversikt'!Q$8=""),0,SUMPRODUCT(MAX(('Innmelding'!$A$2:$A$701='Oversikt'!$C$4)*('Innmelding'!$B$2:$B$701='Oversikt'!$C$5)*('Innmelding'!$C$2:$C$701=$B26)*('Innmelding'!$D$2:$D$701='Oversikt'!Q$8)*'Innmelding'!$H$2:$H$701)))</f>
        <v/>
      </c>
      <c r="Q26">
        <f>IF(OR($B26="",'Oversikt'!F$8="",'Oversikt'!$C$6=""),0,SUMPRODUCT(MAX(('Innmelding'!$A$2:$A$701='Oversikt'!$C$6)*('Innmelding'!$B$2:$B$701='Oversikt'!$C$5)*('Innmelding'!$C$2:$C$701=$B26)*('Innmelding'!$D$2:$D$701='Oversikt'!F$8)*'Innmelding'!$H$2:$H$701)))</f>
        <v/>
      </c>
      <c r="R26">
        <f>IF(OR($B26="",'Oversikt'!G$8="",'Oversikt'!$C$6=""),0,SUMPRODUCT(MAX(('Innmelding'!$A$2:$A$701='Oversikt'!$C$6)*('Innmelding'!$B$2:$B$701='Oversikt'!$C$5)*('Innmelding'!$C$2:$C$701=$B26)*('Innmelding'!$D$2:$D$701='Oversikt'!G$8)*'Innmelding'!$H$2:$H$701)))</f>
        <v/>
      </c>
      <c r="S26">
        <f>IF(OR($B26="",'Oversikt'!H$8="",'Oversikt'!$C$6=""),0,SUMPRODUCT(MAX(('Innmelding'!$A$2:$A$701='Oversikt'!$C$6)*('Innmelding'!$B$2:$B$701='Oversikt'!$C$5)*('Innmelding'!$C$2:$C$701=$B26)*('Innmelding'!$D$2:$D$701='Oversikt'!H$8)*'Innmelding'!$H$2:$H$701)))</f>
        <v/>
      </c>
      <c r="T26">
        <f>IF(OR($B26="",'Oversikt'!I$8="",'Oversikt'!$C$6=""),0,SUMPRODUCT(MAX(('Innmelding'!$A$2:$A$701='Oversikt'!$C$6)*('Innmelding'!$B$2:$B$701='Oversikt'!$C$5)*('Innmelding'!$C$2:$C$701=$B26)*('Innmelding'!$D$2:$D$701='Oversikt'!I$8)*'Innmelding'!$H$2:$H$701)))</f>
        <v/>
      </c>
      <c r="U26">
        <f>IF(OR($B26="",'Oversikt'!J$8="",'Oversikt'!$C$6=""),0,SUMPRODUCT(MAX(('Innmelding'!$A$2:$A$701='Oversikt'!$C$6)*('Innmelding'!$B$2:$B$701='Oversikt'!$C$5)*('Innmelding'!$C$2:$C$701=$B26)*('Innmelding'!$D$2:$D$701='Oversikt'!J$8)*'Innmelding'!$H$2:$H$701)))</f>
        <v/>
      </c>
      <c r="V26">
        <f>IF(OR($B26="",'Oversikt'!K$8="",'Oversikt'!$C$6=""),0,SUMPRODUCT(MAX(('Innmelding'!$A$2:$A$701='Oversikt'!$C$6)*('Innmelding'!$B$2:$B$701='Oversikt'!$C$5)*('Innmelding'!$C$2:$C$701=$B26)*('Innmelding'!$D$2:$D$701='Oversikt'!K$8)*'Innmelding'!$H$2:$H$701)))</f>
        <v/>
      </c>
      <c r="W26">
        <f>IF(OR($B26="",'Oversikt'!L$8="",'Oversikt'!$C$6=""),0,SUMPRODUCT(MAX(('Innmelding'!$A$2:$A$701='Oversikt'!$C$6)*('Innmelding'!$B$2:$B$701='Oversikt'!$C$5)*('Innmelding'!$C$2:$C$701=$B26)*('Innmelding'!$D$2:$D$701='Oversikt'!L$8)*'Innmelding'!$H$2:$H$701)))</f>
        <v/>
      </c>
      <c r="X26">
        <f>IF(OR($B26="",'Oversikt'!M$8="",'Oversikt'!$C$6=""),0,SUMPRODUCT(MAX(('Innmelding'!$A$2:$A$701='Oversikt'!$C$6)*('Innmelding'!$B$2:$B$701='Oversikt'!$C$5)*('Innmelding'!$C$2:$C$701=$B26)*('Innmelding'!$D$2:$D$701='Oversikt'!M$8)*'Innmelding'!$H$2:$H$701)))</f>
        <v/>
      </c>
      <c r="Y26">
        <f>IF(OR($B26="",'Oversikt'!N$8="",'Oversikt'!$C$6=""),0,SUMPRODUCT(MAX(('Innmelding'!$A$2:$A$701='Oversikt'!$C$6)*('Innmelding'!$B$2:$B$701='Oversikt'!$C$5)*('Innmelding'!$C$2:$C$701=$B26)*('Innmelding'!$D$2:$D$701='Oversikt'!N$8)*'Innmelding'!$H$2:$H$701)))</f>
        <v/>
      </c>
      <c r="Z26">
        <f>IF(OR($B26="",'Oversikt'!O$8="",'Oversikt'!$C$6=""),0,SUMPRODUCT(MAX(('Innmelding'!$A$2:$A$701='Oversikt'!$C$6)*('Innmelding'!$B$2:$B$701='Oversikt'!$C$5)*('Innmelding'!$C$2:$C$701=$B26)*('Innmelding'!$D$2:$D$701='Oversikt'!O$8)*'Innmelding'!$H$2:$H$701)))</f>
        <v/>
      </c>
      <c r="AA26">
        <f>IF(OR($B26="",'Oversikt'!P$8="",'Oversikt'!$C$6=""),0,SUMPRODUCT(MAX(('Innmelding'!$A$2:$A$701='Oversikt'!$C$6)*('Innmelding'!$B$2:$B$701='Oversikt'!$C$5)*('Innmelding'!$C$2:$C$701=$B26)*('Innmelding'!$D$2:$D$701='Oversikt'!P$8)*'Innmelding'!$H$2:$H$701)))</f>
        <v/>
      </c>
      <c r="AB26">
        <f>IF(OR($B26="",'Oversikt'!Q$8="",'Oversikt'!$C$6=""),0,SUMPRODUCT(MAX(('Innmelding'!$A$2:$A$701='Oversikt'!$C$6)*('Innmelding'!$B$2:$B$701='Oversikt'!$C$5)*('Innmelding'!$C$2:$C$701=$B26)*('Innmelding'!$D$2:$D$701='Oversikt'!Q$8)*'Innmelding'!$H$2:$H$701)))</f>
        <v/>
      </c>
      <c r="AC26">
        <f>IF(OR($B26="",'Oversikt'!F$8=""),0,SUMPRODUCT(('Innmelding'!$A$2:$A$701='Oversikt'!$C$4)*('Innmelding'!$B$2:$B$701='Oversikt'!$C$5)*('Innmelding'!$C$2:$C$701=$B26)*('Innmelding'!$D$2:$D$701='Oversikt'!F$8)*('Innmelding'!$H$2:$H$701&gt;0)))</f>
        <v/>
      </c>
      <c r="AD26">
        <f>IF(OR($B26="",'Oversikt'!G$8=""),0,SUMPRODUCT(('Innmelding'!$A$2:$A$701='Oversikt'!$C$4)*('Innmelding'!$B$2:$B$701='Oversikt'!$C$5)*('Innmelding'!$C$2:$C$701=$B26)*('Innmelding'!$D$2:$D$701='Oversikt'!G$8)*('Innmelding'!$H$2:$H$701&gt;0)))</f>
        <v/>
      </c>
      <c r="AE26">
        <f>IF(OR($B26="",'Oversikt'!H$8=""),0,SUMPRODUCT(('Innmelding'!$A$2:$A$701='Oversikt'!$C$4)*('Innmelding'!$B$2:$B$701='Oversikt'!$C$5)*('Innmelding'!$C$2:$C$701=$B26)*('Innmelding'!$D$2:$D$701='Oversikt'!H$8)*('Innmelding'!$H$2:$H$701&gt;0)))</f>
        <v/>
      </c>
      <c r="AF26">
        <f>IF(OR($B26="",'Oversikt'!I$8=""),0,SUMPRODUCT(('Innmelding'!$A$2:$A$701='Oversikt'!$C$4)*('Innmelding'!$B$2:$B$701='Oversikt'!$C$5)*('Innmelding'!$C$2:$C$701=$B26)*('Innmelding'!$D$2:$D$701='Oversikt'!I$8)*('Innmelding'!$H$2:$H$701&gt;0)))</f>
        <v/>
      </c>
      <c r="AG26">
        <f>IF(OR($B26="",'Oversikt'!J$8=""),0,SUMPRODUCT(('Innmelding'!$A$2:$A$701='Oversikt'!$C$4)*('Innmelding'!$B$2:$B$701='Oversikt'!$C$5)*('Innmelding'!$C$2:$C$701=$B26)*('Innmelding'!$D$2:$D$701='Oversikt'!J$8)*('Innmelding'!$H$2:$H$701&gt;0)))</f>
        <v/>
      </c>
      <c r="AH26">
        <f>IF(OR($B26="",'Oversikt'!K$8=""),0,SUMPRODUCT(('Innmelding'!$A$2:$A$701='Oversikt'!$C$4)*('Innmelding'!$B$2:$B$701='Oversikt'!$C$5)*('Innmelding'!$C$2:$C$701=$B26)*('Innmelding'!$D$2:$D$701='Oversikt'!K$8)*('Innmelding'!$H$2:$H$701&gt;0)))</f>
        <v/>
      </c>
      <c r="AI26">
        <f>IF(OR($B26="",'Oversikt'!L$8=""),0,SUMPRODUCT(('Innmelding'!$A$2:$A$701='Oversikt'!$C$4)*('Innmelding'!$B$2:$B$701='Oversikt'!$C$5)*('Innmelding'!$C$2:$C$701=$B26)*('Innmelding'!$D$2:$D$701='Oversikt'!L$8)*('Innmelding'!$H$2:$H$701&gt;0)))</f>
        <v/>
      </c>
      <c r="AJ26">
        <f>IF(OR($B26="",'Oversikt'!M$8=""),0,SUMPRODUCT(('Innmelding'!$A$2:$A$701='Oversikt'!$C$4)*('Innmelding'!$B$2:$B$701='Oversikt'!$C$5)*('Innmelding'!$C$2:$C$701=$B26)*('Innmelding'!$D$2:$D$701='Oversikt'!M$8)*('Innmelding'!$H$2:$H$701&gt;0)))</f>
        <v/>
      </c>
      <c r="AK26">
        <f>IF(OR($B26="",'Oversikt'!N$8=""),0,SUMPRODUCT(('Innmelding'!$A$2:$A$701='Oversikt'!$C$4)*('Innmelding'!$B$2:$B$701='Oversikt'!$C$5)*('Innmelding'!$C$2:$C$701=$B26)*('Innmelding'!$D$2:$D$701='Oversikt'!N$8)*('Innmelding'!$H$2:$H$701&gt;0)))</f>
        <v/>
      </c>
      <c r="AL26">
        <f>IF(OR($B26="",'Oversikt'!O$8=""),0,SUMPRODUCT(('Innmelding'!$A$2:$A$701='Oversikt'!$C$4)*('Innmelding'!$B$2:$B$701='Oversikt'!$C$5)*('Innmelding'!$C$2:$C$701=$B26)*('Innmelding'!$D$2:$D$701='Oversikt'!O$8)*('Innmelding'!$H$2:$H$701&gt;0)))</f>
        <v/>
      </c>
      <c r="AM26">
        <f>IF(OR($B26="",'Oversikt'!P$8=""),0,SUMPRODUCT(('Innmelding'!$A$2:$A$701='Oversikt'!$C$4)*('Innmelding'!$B$2:$B$701='Oversikt'!$C$5)*('Innmelding'!$C$2:$C$701=$B26)*('Innmelding'!$D$2:$D$701='Oversikt'!P$8)*('Innmelding'!$H$2:$H$701&gt;0)))</f>
        <v/>
      </c>
      <c r="AN26">
        <f>IF(OR($B26="",'Oversikt'!Q$8=""),0,SUMPRODUCT(('Innmelding'!$A$2:$A$701='Oversikt'!$C$4)*('Innmelding'!$B$2:$B$701='Oversikt'!$C$5)*('Innmelding'!$C$2:$C$701=$B26)*('Innmelding'!$D$2:$D$701='Oversikt'!Q$8)*('Innmelding'!$H$2:$H$701&gt;0)))</f>
        <v/>
      </c>
    </row>
    <row r="27">
      <c r="A27" t="n">
        <v>26</v>
      </c>
      <c r="B27">
        <f>IFERROR(INDEX('Elevar'!$A$2:$AZ$41,$A27,MATCH('Oversikt'!$C$5,'Elevar'!$A$1:$AZ$1,0))&amp;"","")</f>
        <v/>
      </c>
      <c r="C27">
        <f>IF($B27="",-1-$A27/1000,COUNTIF($E27:$P27,3)*10000+COUNTIF($E27:$P27,2)*100+COUNTIF($E27:$P27,1)+(100-$A27)/1000)</f>
        <v/>
      </c>
      <c r="D27">
        <f>MATCH(LARGE($C$2:$C$41,$A27),$C$2:$C$41,0)</f>
        <v/>
      </c>
      <c r="E27">
        <f>IF(OR($B27="",'Oversikt'!F$8=""),0,SUMPRODUCT(MAX(('Innmelding'!$A$2:$A$701='Oversikt'!$C$4)*('Innmelding'!$B$2:$B$701='Oversikt'!$C$5)*('Innmelding'!$C$2:$C$701=$B27)*('Innmelding'!$D$2:$D$701='Oversikt'!F$8)*'Innmelding'!$H$2:$H$701)))</f>
        <v/>
      </c>
      <c r="F27">
        <f>IF(OR($B27="",'Oversikt'!G$8=""),0,SUMPRODUCT(MAX(('Innmelding'!$A$2:$A$701='Oversikt'!$C$4)*('Innmelding'!$B$2:$B$701='Oversikt'!$C$5)*('Innmelding'!$C$2:$C$701=$B27)*('Innmelding'!$D$2:$D$701='Oversikt'!G$8)*'Innmelding'!$H$2:$H$701)))</f>
        <v/>
      </c>
      <c r="G27">
        <f>IF(OR($B27="",'Oversikt'!H$8=""),0,SUMPRODUCT(MAX(('Innmelding'!$A$2:$A$701='Oversikt'!$C$4)*('Innmelding'!$B$2:$B$701='Oversikt'!$C$5)*('Innmelding'!$C$2:$C$701=$B27)*('Innmelding'!$D$2:$D$701='Oversikt'!H$8)*'Innmelding'!$H$2:$H$701)))</f>
        <v/>
      </c>
      <c r="H27">
        <f>IF(OR($B27="",'Oversikt'!I$8=""),0,SUMPRODUCT(MAX(('Innmelding'!$A$2:$A$701='Oversikt'!$C$4)*('Innmelding'!$B$2:$B$701='Oversikt'!$C$5)*('Innmelding'!$C$2:$C$701=$B27)*('Innmelding'!$D$2:$D$701='Oversikt'!I$8)*'Innmelding'!$H$2:$H$701)))</f>
        <v/>
      </c>
      <c r="I27">
        <f>IF(OR($B27="",'Oversikt'!J$8=""),0,SUMPRODUCT(MAX(('Innmelding'!$A$2:$A$701='Oversikt'!$C$4)*('Innmelding'!$B$2:$B$701='Oversikt'!$C$5)*('Innmelding'!$C$2:$C$701=$B27)*('Innmelding'!$D$2:$D$701='Oversikt'!J$8)*'Innmelding'!$H$2:$H$701)))</f>
        <v/>
      </c>
      <c r="J27">
        <f>IF(OR($B27="",'Oversikt'!K$8=""),0,SUMPRODUCT(MAX(('Innmelding'!$A$2:$A$701='Oversikt'!$C$4)*('Innmelding'!$B$2:$B$701='Oversikt'!$C$5)*('Innmelding'!$C$2:$C$701=$B27)*('Innmelding'!$D$2:$D$701='Oversikt'!K$8)*'Innmelding'!$H$2:$H$701)))</f>
        <v/>
      </c>
      <c r="K27">
        <f>IF(OR($B27="",'Oversikt'!L$8=""),0,SUMPRODUCT(MAX(('Innmelding'!$A$2:$A$701='Oversikt'!$C$4)*('Innmelding'!$B$2:$B$701='Oversikt'!$C$5)*('Innmelding'!$C$2:$C$701=$B27)*('Innmelding'!$D$2:$D$701='Oversikt'!L$8)*'Innmelding'!$H$2:$H$701)))</f>
        <v/>
      </c>
      <c r="L27">
        <f>IF(OR($B27="",'Oversikt'!M$8=""),0,SUMPRODUCT(MAX(('Innmelding'!$A$2:$A$701='Oversikt'!$C$4)*('Innmelding'!$B$2:$B$701='Oversikt'!$C$5)*('Innmelding'!$C$2:$C$701=$B27)*('Innmelding'!$D$2:$D$701='Oversikt'!M$8)*'Innmelding'!$H$2:$H$701)))</f>
        <v/>
      </c>
      <c r="M27">
        <f>IF(OR($B27="",'Oversikt'!N$8=""),0,SUMPRODUCT(MAX(('Innmelding'!$A$2:$A$701='Oversikt'!$C$4)*('Innmelding'!$B$2:$B$701='Oversikt'!$C$5)*('Innmelding'!$C$2:$C$701=$B27)*('Innmelding'!$D$2:$D$701='Oversikt'!N$8)*'Innmelding'!$H$2:$H$701)))</f>
        <v/>
      </c>
      <c r="N27">
        <f>IF(OR($B27="",'Oversikt'!O$8=""),0,SUMPRODUCT(MAX(('Innmelding'!$A$2:$A$701='Oversikt'!$C$4)*('Innmelding'!$B$2:$B$701='Oversikt'!$C$5)*('Innmelding'!$C$2:$C$701=$B27)*('Innmelding'!$D$2:$D$701='Oversikt'!O$8)*'Innmelding'!$H$2:$H$701)))</f>
        <v/>
      </c>
      <c r="O27">
        <f>IF(OR($B27="",'Oversikt'!P$8=""),0,SUMPRODUCT(MAX(('Innmelding'!$A$2:$A$701='Oversikt'!$C$4)*('Innmelding'!$B$2:$B$701='Oversikt'!$C$5)*('Innmelding'!$C$2:$C$701=$B27)*('Innmelding'!$D$2:$D$701='Oversikt'!P$8)*'Innmelding'!$H$2:$H$701)))</f>
        <v/>
      </c>
      <c r="P27">
        <f>IF(OR($B27="",'Oversikt'!Q$8=""),0,SUMPRODUCT(MAX(('Innmelding'!$A$2:$A$701='Oversikt'!$C$4)*('Innmelding'!$B$2:$B$701='Oversikt'!$C$5)*('Innmelding'!$C$2:$C$701=$B27)*('Innmelding'!$D$2:$D$701='Oversikt'!Q$8)*'Innmelding'!$H$2:$H$701)))</f>
        <v/>
      </c>
      <c r="Q27">
        <f>IF(OR($B27="",'Oversikt'!F$8="",'Oversikt'!$C$6=""),0,SUMPRODUCT(MAX(('Innmelding'!$A$2:$A$701='Oversikt'!$C$6)*('Innmelding'!$B$2:$B$701='Oversikt'!$C$5)*('Innmelding'!$C$2:$C$701=$B27)*('Innmelding'!$D$2:$D$701='Oversikt'!F$8)*'Innmelding'!$H$2:$H$701)))</f>
        <v/>
      </c>
      <c r="R27">
        <f>IF(OR($B27="",'Oversikt'!G$8="",'Oversikt'!$C$6=""),0,SUMPRODUCT(MAX(('Innmelding'!$A$2:$A$701='Oversikt'!$C$6)*('Innmelding'!$B$2:$B$701='Oversikt'!$C$5)*('Innmelding'!$C$2:$C$701=$B27)*('Innmelding'!$D$2:$D$701='Oversikt'!G$8)*'Innmelding'!$H$2:$H$701)))</f>
        <v/>
      </c>
      <c r="S27">
        <f>IF(OR($B27="",'Oversikt'!H$8="",'Oversikt'!$C$6=""),0,SUMPRODUCT(MAX(('Innmelding'!$A$2:$A$701='Oversikt'!$C$6)*('Innmelding'!$B$2:$B$701='Oversikt'!$C$5)*('Innmelding'!$C$2:$C$701=$B27)*('Innmelding'!$D$2:$D$701='Oversikt'!H$8)*'Innmelding'!$H$2:$H$701)))</f>
        <v/>
      </c>
      <c r="T27">
        <f>IF(OR($B27="",'Oversikt'!I$8="",'Oversikt'!$C$6=""),0,SUMPRODUCT(MAX(('Innmelding'!$A$2:$A$701='Oversikt'!$C$6)*('Innmelding'!$B$2:$B$701='Oversikt'!$C$5)*('Innmelding'!$C$2:$C$701=$B27)*('Innmelding'!$D$2:$D$701='Oversikt'!I$8)*'Innmelding'!$H$2:$H$701)))</f>
        <v/>
      </c>
      <c r="U27">
        <f>IF(OR($B27="",'Oversikt'!J$8="",'Oversikt'!$C$6=""),0,SUMPRODUCT(MAX(('Innmelding'!$A$2:$A$701='Oversikt'!$C$6)*('Innmelding'!$B$2:$B$701='Oversikt'!$C$5)*('Innmelding'!$C$2:$C$701=$B27)*('Innmelding'!$D$2:$D$701='Oversikt'!J$8)*'Innmelding'!$H$2:$H$701)))</f>
        <v/>
      </c>
      <c r="V27">
        <f>IF(OR($B27="",'Oversikt'!K$8="",'Oversikt'!$C$6=""),0,SUMPRODUCT(MAX(('Innmelding'!$A$2:$A$701='Oversikt'!$C$6)*('Innmelding'!$B$2:$B$701='Oversikt'!$C$5)*('Innmelding'!$C$2:$C$701=$B27)*('Innmelding'!$D$2:$D$701='Oversikt'!K$8)*'Innmelding'!$H$2:$H$701)))</f>
        <v/>
      </c>
      <c r="W27">
        <f>IF(OR($B27="",'Oversikt'!L$8="",'Oversikt'!$C$6=""),0,SUMPRODUCT(MAX(('Innmelding'!$A$2:$A$701='Oversikt'!$C$6)*('Innmelding'!$B$2:$B$701='Oversikt'!$C$5)*('Innmelding'!$C$2:$C$701=$B27)*('Innmelding'!$D$2:$D$701='Oversikt'!L$8)*'Innmelding'!$H$2:$H$701)))</f>
        <v/>
      </c>
      <c r="X27">
        <f>IF(OR($B27="",'Oversikt'!M$8="",'Oversikt'!$C$6=""),0,SUMPRODUCT(MAX(('Innmelding'!$A$2:$A$701='Oversikt'!$C$6)*('Innmelding'!$B$2:$B$701='Oversikt'!$C$5)*('Innmelding'!$C$2:$C$701=$B27)*('Innmelding'!$D$2:$D$701='Oversikt'!M$8)*'Innmelding'!$H$2:$H$701)))</f>
        <v/>
      </c>
      <c r="Y27">
        <f>IF(OR($B27="",'Oversikt'!N$8="",'Oversikt'!$C$6=""),0,SUMPRODUCT(MAX(('Innmelding'!$A$2:$A$701='Oversikt'!$C$6)*('Innmelding'!$B$2:$B$701='Oversikt'!$C$5)*('Innmelding'!$C$2:$C$701=$B27)*('Innmelding'!$D$2:$D$701='Oversikt'!N$8)*'Innmelding'!$H$2:$H$701)))</f>
        <v/>
      </c>
      <c r="Z27">
        <f>IF(OR($B27="",'Oversikt'!O$8="",'Oversikt'!$C$6=""),0,SUMPRODUCT(MAX(('Innmelding'!$A$2:$A$701='Oversikt'!$C$6)*('Innmelding'!$B$2:$B$701='Oversikt'!$C$5)*('Innmelding'!$C$2:$C$701=$B27)*('Innmelding'!$D$2:$D$701='Oversikt'!O$8)*'Innmelding'!$H$2:$H$701)))</f>
        <v/>
      </c>
      <c r="AA27">
        <f>IF(OR($B27="",'Oversikt'!P$8="",'Oversikt'!$C$6=""),0,SUMPRODUCT(MAX(('Innmelding'!$A$2:$A$701='Oversikt'!$C$6)*('Innmelding'!$B$2:$B$701='Oversikt'!$C$5)*('Innmelding'!$C$2:$C$701=$B27)*('Innmelding'!$D$2:$D$701='Oversikt'!P$8)*'Innmelding'!$H$2:$H$701)))</f>
        <v/>
      </c>
      <c r="AB27">
        <f>IF(OR($B27="",'Oversikt'!Q$8="",'Oversikt'!$C$6=""),0,SUMPRODUCT(MAX(('Innmelding'!$A$2:$A$701='Oversikt'!$C$6)*('Innmelding'!$B$2:$B$701='Oversikt'!$C$5)*('Innmelding'!$C$2:$C$701=$B27)*('Innmelding'!$D$2:$D$701='Oversikt'!Q$8)*'Innmelding'!$H$2:$H$701)))</f>
        <v/>
      </c>
      <c r="AC27">
        <f>IF(OR($B27="",'Oversikt'!F$8=""),0,SUMPRODUCT(('Innmelding'!$A$2:$A$701='Oversikt'!$C$4)*('Innmelding'!$B$2:$B$701='Oversikt'!$C$5)*('Innmelding'!$C$2:$C$701=$B27)*('Innmelding'!$D$2:$D$701='Oversikt'!F$8)*('Innmelding'!$H$2:$H$701&gt;0)))</f>
        <v/>
      </c>
      <c r="AD27">
        <f>IF(OR($B27="",'Oversikt'!G$8=""),0,SUMPRODUCT(('Innmelding'!$A$2:$A$701='Oversikt'!$C$4)*('Innmelding'!$B$2:$B$701='Oversikt'!$C$5)*('Innmelding'!$C$2:$C$701=$B27)*('Innmelding'!$D$2:$D$701='Oversikt'!G$8)*('Innmelding'!$H$2:$H$701&gt;0)))</f>
        <v/>
      </c>
      <c r="AE27">
        <f>IF(OR($B27="",'Oversikt'!H$8=""),0,SUMPRODUCT(('Innmelding'!$A$2:$A$701='Oversikt'!$C$4)*('Innmelding'!$B$2:$B$701='Oversikt'!$C$5)*('Innmelding'!$C$2:$C$701=$B27)*('Innmelding'!$D$2:$D$701='Oversikt'!H$8)*('Innmelding'!$H$2:$H$701&gt;0)))</f>
        <v/>
      </c>
      <c r="AF27">
        <f>IF(OR($B27="",'Oversikt'!I$8=""),0,SUMPRODUCT(('Innmelding'!$A$2:$A$701='Oversikt'!$C$4)*('Innmelding'!$B$2:$B$701='Oversikt'!$C$5)*('Innmelding'!$C$2:$C$701=$B27)*('Innmelding'!$D$2:$D$701='Oversikt'!I$8)*('Innmelding'!$H$2:$H$701&gt;0)))</f>
        <v/>
      </c>
      <c r="AG27">
        <f>IF(OR($B27="",'Oversikt'!J$8=""),0,SUMPRODUCT(('Innmelding'!$A$2:$A$701='Oversikt'!$C$4)*('Innmelding'!$B$2:$B$701='Oversikt'!$C$5)*('Innmelding'!$C$2:$C$701=$B27)*('Innmelding'!$D$2:$D$701='Oversikt'!J$8)*('Innmelding'!$H$2:$H$701&gt;0)))</f>
        <v/>
      </c>
      <c r="AH27">
        <f>IF(OR($B27="",'Oversikt'!K$8=""),0,SUMPRODUCT(('Innmelding'!$A$2:$A$701='Oversikt'!$C$4)*('Innmelding'!$B$2:$B$701='Oversikt'!$C$5)*('Innmelding'!$C$2:$C$701=$B27)*('Innmelding'!$D$2:$D$701='Oversikt'!K$8)*('Innmelding'!$H$2:$H$701&gt;0)))</f>
        <v/>
      </c>
      <c r="AI27">
        <f>IF(OR($B27="",'Oversikt'!L$8=""),0,SUMPRODUCT(('Innmelding'!$A$2:$A$701='Oversikt'!$C$4)*('Innmelding'!$B$2:$B$701='Oversikt'!$C$5)*('Innmelding'!$C$2:$C$701=$B27)*('Innmelding'!$D$2:$D$701='Oversikt'!L$8)*('Innmelding'!$H$2:$H$701&gt;0)))</f>
        <v/>
      </c>
      <c r="AJ27">
        <f>IF(OR($B27="",'Oversikt'!M$8=""),0,SUMPRODUCT(('Innmelding'!$A$2:$A$701='Oversikt'!$C$4)*('Innmelding'!$B$2:$B$701='Oversikt'!$C$5)*('Innmelding'!$C$2:$C$701=$B27)*('Innmelding'!$D$2:$D$701='Oversikt'!M$8)*('Innmelding'!$H$2:$H$701&gt;0)))</f>
        <v/>
      </c>
      <c r="AK27">
        <f>IF(OR($B27="",'Oversikt'!N$8=""),0,SUMPRODUCT(('Innmelding'!$A$2:$A$701='Oversikt'!$C$4)*('Innmelding'!$B$2:$B$701='Oversikt'!$C$5)*('Innmelding'!$C$2:$C$701=$B27)*('Innmelding'!$D$2:$D$701='Oversikt'!N$8)*('Innmelding'!$H$2:$H$701&gt;0)))</f>
        <v/>
      </c>
      <c r="AL27">
        <f>IF(OR($B27="",'Oversikt'!O$8=""),0,SUMPRODUCT(('Innmelding'!$A$2:$A$701='Oversikt'!$C$4)*('Innmelding'!$B$2:$B$701='Oversikt'!$C$5)*('Innmelding'!$C$2:$C$701=$B27)*('Innmelding'!$D$2:$D$701='Oversikt'!O$8)*('Innmelding'!$H$2:$H$701&gt;0)))</f>
        <v/>
      </c>
      <c r="AM27">
        <f>IF(OR($B27="",'Oversikt'!P$8=""),0,SUMPRODUCT(('Innmelding'!$A$2:$A$701='Oversikt'!$C$4)*('Innmelding'!$B$2:$B$701='Oversikt'!$C$5)*('Innmelding'!$C$2:$C$701=$B27)*('Innmelding'!$D$2:$D$701='Oversikt'!P$8)*('Innmelding'!$H$2:$H$701&gt;0)))</f>
        <v/>
      </c>
      <c r="AN27">
        <f>IF(OR($B27="",'Oversikt'!Q$8=""),0,SUMPRODUCT(('Innmelding'!$A$2:$A$701='Oversikt'!$C$4)*('Innmelding'!$B$2:$B$701='Oversikt'!$C$5)*('Innmelding'!$C$2:$C$701=$B27)*('Innmelding'!$D$2:$D$701='Oversikt'!Q$8)*('Innmelding'!$H$2:$H$701&gt;0)))</f>
        <v/>
      </c>
    </row>
    <row r="28">
      <c r="A28" t="n">
        <v>27</v>
      </c>
      <c r="B28">
        <f>IFERROR(INDEX('Elevar'!$A$2:$AZ$41,$A28,MATCH('Oversikt'!$C$5,'Elevar'!$A$1:$AZ$1,0))&amp;"","")</f>
        <v/>
      </c>
      <c r="C28">
        <f>IF($B28="",-1-$A28/1000,COUNTIF($E28:$P28,3)*10000+COUNTIF($E28:$P28,2)*100+COUNTIF($E28:$P28,1)+(100-$A28)/1000)</f>
        <v/>
      </c>
      <c r="D28">
        <f>MATCH(LARGE($C$2:$C$41,$A28),$C$2:$C$41,0)</f>
        <v/>
      </c>
      <c r="E28">
        <f>IF(OR($B28="",'Oversikt'!F$8=""),0,SUMPRODUCT(MAX(('Innmelding'!$A$2:$A$701='Oversikt'!$C$4)*('Innmelding'!$B$2:$B$701='Oversikt'!$C$5)*('Innmelding'!$C$2:$C$701=$B28)*('Innmelding'!$D$2:$D$701='Oversikt'!F$8)*'Innmelding'!$H$2:$H$701)))</f>
        <v/>
      </c>
      <c r="F28">
        <f>IF(OR($B28="",'Oversikt'!G$8=""),0,SUMPRODUCT(MAX(('Innmelding'!$A$2:$A$701='Oversikt'!$C$4)*('Innmelding'!$B$2:$B$701='Oversikt'!$C$5)*('Innmelding'!$C$2:$C$701=$B28)*('Innmelding'!$D$2:$D$701='Oversikt'!G$8)*'Innmelding'!$H$2:$H$701)))</f>
        <v/>
      </c>
      <c r="G28">
        <f>IF(OR($B28="",'Oversikt'!H$8=""),0,SUMPRODUCT(MAX(('Innmelding'!$A$2:$A$701='Oversikt'!$C$4)*('Innmelding'!$B$2:$B$701='Oversikt'!$C$5)*('Innmelding'!$C$2:$C$701=$B28)*('Innmelding'!$D$2:$D$701='Oversikt'!H$8)*'Innmelding'!$H$2:$H$701)))</f>
        <v/>
      </c>
      <c r="H28">
        <f>IF(OR($B28="",'Oversikt'!I$8=""),0,SUMPRODUCT(MAX(('Innmelding'!$A$2:$A$701='Oversikt'!$C$4)*('Innmelding'!$B$2:$B$701='Oversikt'!$C$5)*('Innmelding'!$C$2:$C$701=$B28)*('Innmelding'!$D$2:$D$701='Oversikt'!I$8)*'Innmelding'!$H$2:$H$701)))</f>
        <v/>
      </c>
      <c r="I28">
        <f>IF(OR($B28="",'Oversikt'!J$8=""),0,SUMPRODUCT(MAX(('Innmelding'!$A$2:$A$701='Oversikt'!$C$4)*('Innmelding'!$B$2:$B$701='Oversikt'!$C$5)*('Innmelding'!$C$2:$C$701=$B28)*('Innmelding'!$D$2:$D$701='Oversikt'!J$8)*'Innmelding'!$H$2:$H$701)))</f>
        <v/>
      </c>
      <c r="J28">
        <f>IF(OR($B28="",'Oversikt'!K$8=""),0,SUMPRODUCT(MAX(('Innmelding'!$A$2:$A$701='Oversikt'!$C$4)*('Innmelding'!$B$2:$B$701='Oversikt'!$C$5)*('Innmelding'!$C$2:$C$701=$B28)*('Innmelding'!$D$2:$D$701='Oversikt'!K$8)*'Innmelding'!$H$2:$H$701)))</f>
        <v/>
      </c>
      <c r="K28">
        <f>IF(OR($B28="",'Oversikt'!L$8=""),0,SUMPRODUCT(MAX(('Innmelding'!$A$2:$A$701='Oversikt'!$C$4)*('Innmelding'!$B$2:$B$701='Oversikt'!$C$5)*('Innmelding'!$C$2:$C$701=$B28)*('Innmelding'!$D$2:$D$701='Oversikt'!L$8)*'Innmelding'!$H$2:$H$701)))</f>
        <v/>
      </c>
      <c r="L28">
        <f>IF(OR($B28="",'Oversikt'!M$8=""),0,SUMPRODUCT(MAX(('Innmelding'!$A$2:$A$701='Oversikt'!$C$4)*('Innmelding'!$B$2:$B$701='Oversikt'!$C$5)*('Innmelding'!$C$2:$C$701=$B28)*('Innmelding'!$D$2:$D$701='Oversikt'!M$8)*'Innmelding'!$H$2:$H$701)))</f>
        <v/>
      </c>
      <c r="M28">
        <f>IF(OR($B28="",'Oversikt'!N$8=""),0,SUMPRODUCT(MAX(('Innmelding'!$A$2:$A$701='Oversikt'!$C$4)*('Innmelding'!$B$2:$B$701='Oversikt'!$C$5)*('Innmelding'!$C$2:$C$701=$B28)*('Innmelding'!$D$2:$D$701='Oversikt'!N$8)*'Innmelding'!$H$2:$H$701)))</f>
        <v/>
      </c>
      <c r="N28">
        <f>IF(OR($B28="",'Oversikt'!O$8=""),0,SUMPRODUCT(MAX(('Innmelding'!$A$2:$A$701='Oversikt'!$C$4)*('Innmelding'!$B$2:$B$701='Oversikt'!$C$5)*('Innmelding'!$C$2:$C$701=$B28)*('Innmelding'!$D$2:$D$701='Oversikt'!O$8)*'Innmelding'!$H$2:$H$701)))</f>
        <v/>
      </c>
      <c r="O28">
        <f>IF(OR($B28="",'Oversikt'!P$8=""),0,SUMPRODUCT(MAX(('Innmelding'!$A$2:$A$701='Oversikt'!$C$4)*('Innmelding'!$B$2:$B$701='Oversikt'!$C$5)*('Innmelding'!$C$2:$C$701=$B28)*('Innmelding'!$D$2:$D$701='Oversikt'!P$8)*'Innmelding'!$H$2:$H$701)))</f>
        <v/>
      </c>
      <c r="P28">
        <f>IF(OR($B28="",'Oversikt'!Q$8=""),0,SUMPRODUCT(MAX(('Innmelding'!$A$2:$A$701='Oversikt'!$C$4)*('Innmelding'!$B$2:$B$701='Oversikt'!$C$5)*('Innmelding'!$C$2:$C$701=$B28)*('Innmelding'!$D$2:$D$701='Oversikt'!Q$8)*'Innmelding'!$H$2:$H$701)))</f>
        <v/>
      </c>
      <c r="Q28">
        <f>IF(OR($B28="",'Oversikt'!F$8="",'Oversikt'!$C$6=""),0,SUMPRODUCT(MAX(('Innmelding'!$A$2:$A$701='Oversikt'!$C$6)*('Innmelding'!$B$2:$B$701='Oversikt'!$C$5)*('Innmelding'!$C$2:$C$701=$B28)*('Innmelding'!$D$2:$D$701='Oversikt'!F$8)*'Innmelding'!$H$2:$H$701)))</f>
        <v/>
      </c>
      <c r="R28">
        <f>IF(OR($B28="",'Oversikt'!G$8="",'Oversikt'!$C$6=""),0,SUMPRODUCT(MAX(('Innmelding'!$A$2:$A$701='Oversikt'!$C$6)*('Innmelding'!$B$2:$B$701='Oversikt'!$C$5)*('Innmelding'!$C$2:$C$701=$B28)*('Innmelding'!$D$2:$D$701='Oversikt'!G$8)*'Innmelding'!$H$2:$H$701)))</f>
        <v/>
      </c>
      <c r="S28">
        <f>IF(OR($B28="",'Oversikt'!H$8="",'Oversikt'!$C$6=""),0,SUMPRODUCT(MAX(('Innmelding'!$A$2:$A$701='Oversikt'!$C$6)*('Innmelding'!$B$2:$B$701='Oversikt'!$C$5)*('Innmelding'!$C$2:$C$701=$B28)*('Innmelding'!$D$2:$D$701='Oversikt'!H$8)*'Innmelding'!$H$2:$H$701)))</f>
        <v/>
      </c>
      <c r="T28">
        <f>IF(OR($B28="",'Oversikt'!I$8="",'Oversikt'!$C$6=""),0,SUMPRODUCT(MAX(('Innmelding'!$A$2:$A$701='Oversikt'!$C$6)*('Innmelding'!$B$2:$B$701='Oversikt'!$C$5)*('Innmelding'!$C$2:$C$701=$B28)*('Innmelding'!$D$2:$D$701='Oversikt'!I$8)*'Innmelding'!$H$2:$H$701)))</f>
        <v/>
      </c>
      <c r="U28">
        <f>IF(OR($B28="",'Oversikt'!J$8="",'Oversikt'!$C$6=""),0,SUMPRODUCT(MAX(('Innmelding'!$A$2:$A$701='Oversikt'!$C$6)*('Innmelding'!$B$2:$B$701='Oversikt'!$C$5)*('Innmelding'!$C$2:$C$701=$B28)*('Innmelding'!$D$2:$D$701='Oversikt'!J$8)*'Innmelding'!$H$2:$H$701)))</f>
        <v/>
      </c>
      <c r="V28">
        <f>IF(OR($B28="",'Oversikt'!K$8="",'Oversikt'!$C$6=""),0,SUMPRODUCT(MAX(('Innmelding'!$A$2:$A$701='Oversikt'!$C$6)*('Innmelding'!$B$2:$B$701='Oversikt'!$C$5)*('Innmelding'!$C$2:$C$701=$B28)*('Innmelding'!$D$2:$D$701='Oversikt'!K$8)*'Innmelding'!$H$2:$H$701)))</f>
        <v/>
      </c>
      <c r="W28">
        <f>IF(OR($B28="",'Oversikt'!L$8="",'Oversikt'!$C$6=""),0,SUMPRODUCT(MAX(('Innmelding'!$A$2:$A$701='Oversikt'!$C$6)*('Innmelding'!$B$2:$B$701='Oversikt'!$C$5)*('Innmelding'!$C$2:$C$701=$B28)*('Innmelding'!$D$2:$D$701='Oversikt'!L$8)*'Innmelding'!$H$2:$H$701)))</f>
        <v/>
      </c>
      <c r="X28">
        <f>IF(OR($B28="",'Oversikt'!M$8="",'Oversikt'!$C$6=""),0,SUMPRODUCT(MAX(('Innmelding'!$A$2:$A$701='Oversikt'!$C$6)*('Innmelding'!$B$2:$B$701='Oversikt'!$C$5)*('Innmelding'!$C$2:$C$701=$B28)*('Innmelding'!$D$2:$D$701='Oversikt'!M$8)*'Innmelding'!$H$2:$H$701)))</f>
        <v/>
      </c>
      <c r="Y28">
        <f>IF(OR($B28="",'Oversikt'!N$8="",'Oversikt'!$C$6=""),0,SUMPRODUCT(MAX(('Innmelding'!$A$2:$A$701='Oversikt'!$C$6)*('Innmelding'!$B$2:$B$701='Oversikt'!$C$5)*('Innmelding'!$C$2:$C$701=$B28)*('Innmelding'!$D$2:$D$701='Oversikt'!N$8)*'Innmelding'!$H$2:$H$701)))</f>
        <v/>
      </c>
      <c r="Z28">
        <f>IF(OR($B28="",'Oversikt'!O$8="",'Oversikt'!$C$6=""),0,SUMPRODUCT(MAX(('Innmelding'!$A$2:$A$701='Oversikt'!$C$6)*('Innmelding'!$B$2:$B$701='Oversikt'!$C$5)*('Innmelding'!$C$2:$C$701=$B28)*('Innmelding'!$D$2:$D$701='Oversikt'!O$8)*'Innmelding'!$H$2:$H$701)))</f>
        <v/>
      </c>
      <c r="AA28">
        <f>IF(OR($B28="",'Oversikt'!P$8="",'Oversikt'!$C$6=""),0,SUMPRODUCT(MAX(('Innmelding'!$A$2:$A$701='Oversikt'!$C$6)*('Innmelding'!$B$2:$B$701='Oversikt'!$C$5)*('Innmelding'!$C$2:$C$701=$B28)*('Innmelding'!$D$2:$D$701='Oversikt'!P$8)*'Innmelding'!$H$2:$H$701)))</f>
        <v/>
      </c>
      <c r="AB28">
        <f>IF(OR($B28="",'Oversikt'!Q$8="",'Oversikt'!$C$6=""),0,SUMPRODUCT(MAX(('Innmelding'!$A$2:$A$701='Oversikt'!$C$6)*('Innmelding'!$B$2:$B$701='Oversikt'!$C$5)*('Innmelding'!$C$2:$C$701=$B28)*('Innmelding'!$D$2:$D$701='Oversikt'!Q$8)*'Innmelding'!$H$2:$H$701)))</f>
        <v/>
      </c>
      <c r="AC28">
        <f>IF(OR($B28="",'Oversikt'!F$8=""),0,SUMPRODUCT(('Innmelding'!$A$2:$A$701='Oversikt'!$C$4)*('Innmelding'!$B$2:$B$701='Oversikt'!$C$5)*('Innmelding'!$C$2:$C$701=$B28)*('Innmelding'!$D$2:$D$701='Oversikt'!F$8)*('Innmelding'!$H$2:$H$701&gt;0)))</f>
        <v/>
      </c>
      <c r="AD28">
        <f>IF(OR($B28="",'Oversikt'!G$8=""),0,SUMPRODUCT(('Innmelding'!$A$2:$A$701='Oversikt'!$C$4)*('Innmelding'!$B$2:$B$701='Oversikt'!$C$5)*('Innmelding'!$C$2:$C$701=$B28)*('Innmelding'!$D$2:$D$701='Oversikt'!G$8)*('Innmelding'!$H$2:$H$701&gt;0)))</f>
        <v/>
      </c>
      <c r="AE28">
        <f>IF(OR($B28="",'Oversikt'!H$8=""),0,SUMPRODUCT(('Innmelding'!$A$2:$A$701='Oversikt'!$C$4)*('Innmelding'!$B$2:$B$701='Oversikt'!$C$5)*('Innmelding'!$C$2:$C$701=$B28)*('Innmelding'!$D$2:$D$701='Oversikt'!H$8)*('Innmelding'!$H$2:$H$701&gt;0)))</f>
        <v/>
      </c>
      <c r="AF28">
        <f>IF(OR($B28="",'Oversikt'!I$8=""),0,SUMPRODUCT(('Innmelding'!$A$2:$A$701='Oversikt'!$C$4)*('Innmelding'!$B$2:$B$701='Oversikt'!$C$5)*('Innmelding'!$C$2:$C$701=$B28)*('Innmelding'!$D$2:$D$701='Oversikt'!I$8)*('Innmelding'!$H$2:$H$701&gt;0)))</f>
        <v/>
      </c>
      <c r="AG28">
        <f>IF(OR($B28="",'Oversikt'!J$8=""),0,SUMPRODUCT(('Innmelding'!$A$2:$A$701='Oversikt'!$C$4)*('Innmelding'!$B$2:$B$701='Oversikt'!$C$5)*('Innmelding'!$C$2:$C$701=$B28)*('Innmelding'!$D$2:$D$701='Oversikt'!J$8)*('Innmelding'!$H$2:$H$701&gt;0)))</f>
        <v/>
      </c>
      <c r="AH28">
        <f>IF(OR($B28="",'Oversikt'!K$8=""),0,SUMPRODUCT(('Innmelding'!$A$2:$A$701='Oversikt'!$C$4)*('Innmelding'!$B$2:$B$701='Oversikt'!$C$5)*('Innmelding'!$C$2:$C$701=$B28)*('Innmelding'!$D$2:$D$701='Oversikt'!K$8)*('Innmelding'!$H$2:$H$701&gt;0)))</f>
        <v/>
      </c>
      <c r="AI28">
        <f>IF(OR($B28="",'Oversikt'!L$8=""),0,SUMPRODUCT(('Innmelding'!$A$2:$A$701='Oversikt'!$C$4)*('Innmelding'!$B$2:$B$701='Oversikt'!$C$5)*('Innmelding'!$C$2:$C$701=$B28)*('Innmelding'!$D$2:$D$701='Oversikt'!L$8)*('Innmelding'!$H$2:$H$701&gt;0)))</f>
        <v/>
      </c>
      <c r="AJ28">
        <f>IF(OR($B28="",'Oversikt'!M$8=""),0,SUMPRODUCT(('Innmelding'!$A$2:$A$701='Oversikt'!$C$4)*('Innmelding'!$B$2:$B$701='Oversikt'!$C$5)*('Innmelding'!$C$2:$C$701=$B28)*('Innmelding'!$D$2:$D$701='Oversikt'!M$8)*('Innmelding'!$H$2:$H$701&gt;0)))</f>
        <v/>
      </c>
      <c r="AK28">
        <f>IF(OR($B28="",'Oversikt'!N$8=""),0,SUMPRODUCT(('Innmelding'!$A$2:$A$701='Oversikt'!$C$4)*('Innmelding'!$B$2:$B$701='Oversikt'!$C$5)*('Innmelding'!$C$2:$C$701=$B28)*('Innmelding'!$D$2:$D$701='Oversikt'!N$8)*('Innmelding'!$H$2:$H$701&gt;0)))</f>
        <v/>
      </c>
      <c r="AL28">
        <f>IF(OR($B28="",'Oversikt'!O$8=""),0,SUMPRODUCT(('Innmelding'!$A$2:$A$701='Oversikt'!$C$4)*('Innmelding'!$B$2:$B$701='Oversikt'!$C$5)*('Innmelding'!$C$2:$C$701=$B28)*('Innmelding'!$D$2:$D$701='Oversikt'!O$8)*('Innmelding'!$H$2:$H$701&gt;0)))</f>
        <v/>
      </c>
      <c r="AM28">
        <f>IF(OR($B28="",'Oversikt'!P$8=""),0,SUMPRODUCT(('Innmelding'!$A$2:$A$701='Oversikt'!$C$4)*('Innmelding'!$B$2:$B$701='Oversikt'!$C$5)*('Innmelding'!$C$2:$C$701=$B28)*('Innmelding'!$D$2:$D$701='Oversikt'!P$8)*('Innmelding'!$H$2:$H$701&gt;0)))</f>
        <v/>
      </c>
      <c r="AN28">
        <f>IF(OR($B28="",'Oversikt'!Q$8=""),0,SUMPRODUCT(('Innmelding'!$A$2:$A$701='Oversikt'!$C$4)*('Innmelding'!$B$2:$B$701='Oversikt'!$C$5)*('Innmelding'!$C$2:$C$701=$B28)*('Innmelding'!$D$2:$D$701='Oversikt'!Q$8)*('Innmelding'!$H$2:$H$701&gt;0)))</f>
        <v/>
      </c>
    </row>
    <row r="29">
      <c r="A29" t="n">
        <v>28</v>
      </c>
      <c r="B29">
        <f>IFERROR(INDEX('Elevar'!$A$2:$AZ$41,$A29,MATCH('Oversikt'!$C$5,'Elevar'!$A$1:$AZ$1,0))&amp;"","")</f>
        <v/>
      </c>
      <c r="C29">
        <f>IF($B29="",-1-$A29/1000,COUNTIF($E29:$P29,3)*10000+COUNTIF($E29:$P29,2)*100+COUNTIF($E29:$P29,1)+(100-$A29)/1000)</f>
        <v/>
      </c>
      <c r="D29">
        <f>MATCH(LARGE($C$2:$C$41,$A29),$C$2:$C$41,0)</f>
        <v/>
      </c>
      <c r="E29">
        <f>IF(OR($B29="",'Oversikt'!F$8=""),0,SUMPRODUCT(MAX(('Innmelding'!$A$2:$A$701='Oversikt'!$C$4)*('Innmelding'!$B$2:$B$701='Oversikt'!$C$5)*('Innmelding'!$C$2:$C$701=$B29)*('Innmelding'!$D$2:$D$701='Oversikt'!F$8)*'Innmelding'!$H$2:$H$701)))</f>
        <v/>
      </c>
      <c r="F29">
        <f>IF(OR($B29="",'Oversikt'!G$8=""),0,SUMPRODUCT(MAX(('Innmelding'!$A$2:$A$701='Oversikt'!$C$4)*('Innmelding'!$B$2:$B$701='Oversikt'!$C$5)*('Innmelding'!$C$2:$C$701=$B29)*('Innmelding'!$D$2:$D$701='Oversikt'!G$8)*'Innmelding'!$H$2:$H$701)))</f>
        <v/>
      </c>
      <c r="G29">
        <f>IF(OR($B29="",'Oversikt'!H$8=""),0,SUMPRODUCT(MAX(('Innmelding'!$A$2:$A$701='Oversikt'!$C$4)*('Innmelding'!$B$2:$B$701='Oversikt'!$C$5)*('Innmelding'!$C$2:$C$701=$B29)*('Innmelding'!$D$2:$D$701='Oversikt'!H$8)*'Innmelding'!$H$2:$H$701)))</f>
        <v/>
      </c>
      <c r="H29">
        <f>IF(OR($B29="",'Oversikt'!I$8=""),0,SUMPRODUCT(MAX(('Innmelding'!$A$2:$A$701='Oversikt'!$C$4)*('Innmelding'!$B$2:$B$701='Oversikt'!$C$5)*('Innmelding'!$C$2:$C$701=$B29)*('Innmelding'!$D$2:$D$701='Oversikt'!I$8)*'Innmelding'!$H$2:$H$701)))</f>
        <v/>
      </c>
      <c r="I29">
        <f>IF(OR($B29="",'Oversikt'!J$8=""),0,SUMPRODUCT(MAX(('Innmelding'!$A$2:$A$701='Oversikt'!$C$4)*('Innmelding'!$B$2:$B$701='Oversikt'!$C$5)*('Innmelding'!$C$2:$C$701=$B29)*('Innmelding'!$D$2:$D$701='Oversikt'!J$8)*'Innmelding'!$H$2:$H$701)))</f>
        <v/>
      </c>
      <c r="J29">
        <f>IF(OR($B29="",'Oversikt'!K$8=""),0,SUMPRODUCT(MAX(('Innmelding'!$A$2:$A$701='Oversikt'!$C$4)*('Innmelding'!$B$2:$B$701='Oversikt'!$C$5)*('Innmelding'!$C$2:$C$701=$B29)*('Innmelding'!$D$2:$D$701='Oversikt'!K$8)*'Innmelding'!$H$2:$H$701)))</f>
        <v/>
      </c>
      <c r="K29">
        <f>IF(OR($B29="",'Oversikt'!L$8=""),0,SUMPRODUCT(MAX(('Innmelding'!$A$2:$A$701='Oversikt'!$C$4)*('Innmelding'!$B$2:$B$701='Oversikt'!$C$5)*('Innmelding'!$C$2:$C$701=$B29)*('Innmelding'!$D$2:$D$701='Oversikt'!L$8)*'Innmelding'!$H$2:$H$701)))</f>
        <v/>
      </c>
      <c r="L29">
        <f>IF(OR($B29="",'Oversikt'!M$8=""),0,SUMPRODUCT(MAX(('Innmelding'!$A$2:$A$701='Oversikt'!$C$4)*('Innmelding'!$B$2:$B$701='Oversikt'!$C$5)*('Innmelding'!$C$2:$C$701=$B29)*('Innmelding'!$D$2:$D$701='Oversikt'!M$8)*'Innmelding'!$H$2:$H$701)))</f>
        <v/>
      </c>
      <c r="M29">
        <f>IF(OR($B29="",'Oversikt'!N$8=""),0,SUMPRODUCT(MAX(('Innmelding'!$A$2:$A$701='Oversikt'!$C$4)*('Innmelding'!$B$2:$B$701='Oversikt'!$C$5)*('Innmelding'!$C$2:$C$701=$B29)*('Innmelding'!$D$2:$D$701='Oversikt'!N$8)*'Innmelding'!$H$2:$H$701)))</f>
        <v/>
      </c>
      <c r="N29">
        <f>IF(OR($B29="",'Oversikt'!O$8=""),0,SUMPRODUCT(MAX(('Innmelding'!$A$2:$A$701='Oversikt'!$C$4)*('Innmelding'!$B$2:$B$701='Oversikt'!$C$5)*('Innmelding'!$C$2:$C$701=$B29)*('Innmelding'!$D$2:$D$701='Oversikt'!O$8)*'Innmelding'!$H$2:$H$701)))</f>
        <v/>
      </c>
      <c r="O29">
        <f>IF(OR($B29="",'Oversikt'!P$8=""),0,SUMPRODUCT(MAX(('Innmelding'!$A$2:$A$701='Oversikt'!$C$4)*('Innmelding'!$B$2:$B$701='Oversikt'!$C$5)*('Innmelding'!$C$2:$C$701=$B29)*('Innmelding'!$D$2:$D$701='Oversikt'!P$8)*'Innmelding'!$H$2:$H$701)))</f>
        <v/>
      </c>
      <c r="P29">
        <f>IF(OR($B29="",'Oversikt'!Q$8=""),0,SUMPRODUCT(MAX(('Innmelding'!$A$2:$A$701='Oversikt'!$C$4)*('Innmelding'!$B$2:$B$701='Oversikt'!$C$5)*('Innmelding'!$C$2:$C$701=$B29)*('Innmelding'!$D$2:$D$701='Oversikt'!Q$8)*'Innmelding'!$H$2:$H$701)))</f>
        <v/>
      </c>
      <c r="Q29">
        <f>IF(OR($B29="",'Oversikt'!F$8="",'Oversikt'!$C$6=""),0,SUMPRODUCT(MAX(('Innmelding'!$A$2:$A$701='Oversikt'!$C$6)*('Innmelding'!$B$2:$B$701='Oversikt'!$C$5)*('Innmelding'!$C$2:$C$701=$B29)*('Innmelding'!$D$2:$D$701='Oversikt'!F$8)*'Innmelding'!$H$2:$H$701)))</f>
        <v/>
      </c>
      <c r="R29">
        <f>IF(OR($B29="",'Oversikt'!G$8="",'Oversikt'!$C$6=""),0,SUMPRODUCT(MAX(('Innmelding'!$A$2:$A$701='Oversikt'!$C$6)*('Innmelding'!$B$2:$B$701='Oversikt'!$C$5)*('Innmelding'!$C$2:$C$701=$B29)*('Innmelding'!$D$2:$D$701='Oversikt'!G$8)*'Innmelding'!$H$2:$H$701)))</f>
        <v/>
      </c>
      <c r="S29">
        <f>IF(OR($B29="",'Oversikt'!H$8="",'Oversikt'!$C$6=""),0,SUMPRODUCT(MAX(('Innmelding'!$A$2:$A$701='Oversikt'!$C$6)*('Innmelding'!$B$2:$B$701='Oversikt'!$C$5)*('Innmelding'!$C$2:$C$701=$B29)*('Innmelding'!$D$2:$D$701='Oversikt'!H$8)*'Innmelding'!$H$2:$H$701)))</f>
        <v/>
      </c>
      <c r="T29">
        <f>IF(OR($B29="",'Oversikt'!I$8="",'Oversikt'!$C$6=""),0,SUMPRODUCT(MAX(('Innmelding'!$A$2:$A$701='Oversikt'!$C$6)*('Innmelding'!$B$2:$B$701='Oversikt'!$C$5)*('Innmelding'!$C$2:$C$701=$B29)*('Innmelding'!$D$2:$D$701='Oversikt'!I$8)*'Innmelding'!$H$2:$H$701)))</f>
        <v/>
      </c>
      <c r="U29">
        <f>IF(OR($B29="",'Oversikt'!J$8="",'Oversikt'!$C$6=""),0,SUMPRODUCT(MAX(('Innmelding'!$A$2:$A$701='Oversikt'!$C$6)*('Innmelding'!$B$2:$B$701='Oversikt'!$C$5)*('Innmelding'!$C$2:$C$701=$B29)*('Innmelding'!$D$2:$D$701='Oversikt'!J$8)*'Innmelding'!$H$2:$H$701)))</f>
        <v/>
      </c>
      <c r="V29">
        <f>IF(OR($B29="",'Oversikt'!K$8="",'Oversikt'!$C$6=""),0,SUMPRODUCT(MAX(('Innmelding'!$A$2:$A$701='Oversikt'!$C$6)*('Innmelding'!$B$2:$B$701='Oversikt'!$C$5)*('Innmelding'!$C$2:$C$701=$B29)*('Innmelding'!$D$2:$D$701='Oversikt'!K$8)*'Innmelding'!$H$2:$H$701)))</f>
        <v/>
      </c>
      <c r="W29">
        <f>IF(OR($B29="",'Oversikt'!L$8="",'Oversikt'!$C$6=""),0,SUMPRODUCT(MAX(('Innmelding'!$A$2:$A$701='Oversikt'!$C$6)*('Innmelding'!$B$2:$B$701='Oversikt'!$C$5)*('Innmelding'!$C$2:$C$701=$B29)*('Innmelding'!$D$2:$D$701='Oversikt'!L$8)*'Innmelding'!$H$2:$H$701)))</f>
        <v/>
      </c>
      <c r="X29">
        <f>IF(OR($B29="",'Oversikt'!M$8="",'Oversikt'!$C$6=""),0,SUMPRODUCT(MAX(('Innmelding'!$A$2:$A$701='Oversikt'!$C$6)*('Innmelding'!$B$2:$B$701='Oversikt'!$C$5)*('Innmelding'!$C$2:$C$701=$B29)*('Innmelding'!$D$2:$D$701='Oversikt'!M$8)*'Innmelding'!$H$2:$H$701)))</f>
        <v/>
      </c>
      <c r="Y29">
        <f>IF(OR($B29="",'Oversikt'!N$8="",'Oversikt'!$C$6=""),0,SUMPRODUCT(MAX(('Innmelding'!$A$2:$A$701='Oversikt'!$C$6)*('Innmelding'!$B$2:$B$701='Oversikt'!$C$5)*('Innmelding'!$C$2:$C$701=$B29)*('Innmelding'!$D$2:$D$701='Oversikt'!N$8)*'Innmelding'!$H$2:$H$701)))</f>
        <v/>
      </c>
      <c r="Z29">
        <f>IF(OR($B29="",'Oversikt'!O$8="",'Oversikt'!$C$6=""),0,SUMPRODUCT(MAX(('Innmelding'!$A$2:$A$701='Oversikt'!$C$6)*('Innmelding'!$B$2:$B$701='Oversikt'!$C$5)*('Innmelding'!$C$2:$C$701=$B29)*('Innmelding'!$D$2:$D$701='Oversikt'!O$8)*'Innmelding'!$H$2:$H$701)))</f>
        <v/>
      </c>
      <c r="AA29">
        <f>IF(OR($B29="",'Oversikt'!P$8="",'Oversikt'!$C$6=""),0,SUMPRODUCT(MAX(('Innmelding'!$A$2:$A$701='Oversikt'!$C$6)*('Innmelding'!$B$2:$B$701='Oversikt'!$C$5)*('Innmelding'!$C$2:$C$701=$B29)*('Innmelding'!$D$2:$D$701='Oversikt'!P$8)*'Innmelding'!$H$2:$H$701)))</f>
        <v/>
      </c>
      <c r="AB29">
        <f>IF(OR($B29="",'Oversikt'!Q$8="",'Oversikt'!$C$6=""),0,SUMPRODUCT(MAX(('Innmelding'!$A$2:$A$701='Oversikt'!$C$6)*('Innmelding'!$B$2:$B$701='Oversikt'!$C$5)*('Innmelding'!$C$2:$C$701=$B29)*('Innmelding'!$D$2:$D$701='Oversikt'!Q$8)*'Innmelding'!$H$2:$H$701)))</f>
        <v/>
      </c>
      <c r="AC29">
        <f>IF(OR($B29="",'Oversikt'!F$8=""),0,SUMPRODUCT(('Innmelding'!$A$2:$A$701='Oversikt'!$C$4)*('Innmelding'!$B$2:$B$701='Oversikt'!$C$5)*('Innmelding'!$C$2:$C$701=$B29)*('Innmelding'!$D$2:$D$701='Oversikt'!F$8)*('Innmelding'!$H$2:$H$701&gt;0)))</f>
        <v/>
      </c>
      <c r="AD29">
        <f>IF(OR($B29="",'Oversikt'!G$8=""),0,SUMPRODUCT(('Innmelding'!$A$2:$A$701='Oversikt'!$C$4)*('Innmelding'!$B$2:$B$701='Oversikt'!$C$5)*('Innmelding'!$C$2:$C$701=$B29)*('Innmelding'!$D$2:$D$701='Oversikt'!G$8)*('Innmelding'!$H$2:$H$701&gt;0)))</f>
        <v/>
      </c>
      <c r="AE29">
        <f>IF(OR($B29="",'Oversikt'!H$8=""),0,SUMPRODUCT(('Innmelding'!$A$2:$A$701='Oversikt'!$C$4)*('Innmelding'!$B$2:$B$701='Oversikt'!$C$5)*('Innmelding'!$C$2:$C$701=$B29)*('Innmelding'!$D$2:$D$701='Oversikt'!H$8)*('Innmelding'!$H$2:$H$701&gt;0)))</f>
        <v/>
      </c>
      <c r="AF29">
        <f>IF(OR($B29="",'Oversikt'!I$8=""),0,SUMPRODUCT(('Innmelding'!$A$2:$A$701='Oversikt'!$C$4)*('Innmelding'!$B$2:$B$701='Oversikt'!$C$5)*('Innmelding'!$C$2:$C$701=$B29)*('Innmelding'!$D$2:$D$701='Oversikt'!I$8)*('Innmelding'!$H$2:$H$701&gt;0)))</f>
        <v/>
      </c>
      <c r="AG29">
        <f>IF(OR($B29="",'Oversikt'!J$8=""),0,SUMPRODUCT(('Innmelding'!$A$2:$A$701='Oversikt'!$C$4)*('Innmelding'!$B$2:$B$701='Oversikt'!$C$5)*('Innmelding'!$C$2:$C$701=$B29)*('Innmelding'!$D$2:$D$701='Oversikt'!J$8)*('Innmelding'!$H$2:$H$701&gt;0)))</f>
        <v/>
      </c>
      <c r="AH29">
        <f>IF(OR($B29="",'Oversikt'!K$8=""),0,SUMPRODUCT(('Innmelding'!$A$2:$A$701='Oversikt'!$C$4)*('Innmelding'!$B$2:$B$701='Oversikt'!$C$5)*('Innmelding'!$C$2:$C$701=$B29)*('Innmelding'!$D$2:$D$701='Oversikt'!K$8)*('Innmelding'!$H$2:$H$701&gt;0)))</f>
        <v/>
      </c>
      <c r="AI29">
        <f>IF(OR($B29="",'Oversikt'!L$8=""),0,SUMPRODUCT(('Innmelding'!$A$2:$A$701='Oversikt'!$C$4)*('Innmelding'!$B$2:$B$701='Oversikt'!$C$5)*('Innmelding'!$C$2:$C$701=$B29)*('Innmelding'!$D$2:$D$701='Oversikt'!L$8)*('Innmelding'!$H$2:$H$701&gt;0)))</f>
        <v/>
      </c>
      <c r="AJ29">
        <f>IF(OR($B29="",'Oversikt'!M$8=""),0,SUMPRODUCT(('Innmelding'!$A$2:$A$701='Oversikt'!$C$4)*('Innmelding'!$B$2:$B$701='Oversikt'!$C$5)*('Innmelding'!$C$2:$C$701=$B29)*('Innmelding'!$D$2:$D$701='Oversikt'!M$8)*('Innmelding'!$H$2:$H$701&gt;0)))</f>
        <v/>
      </c>
      <c r="AK29">
        <f>IF(OR($B29="",'Oversikt'!N$8=""),0,SUMPRODUCT(('Innmelding'!$A$2:$A$701='Oversikt'!$C$4)*('Innmelding'!$B$2:$B$701='Oversikt'!$C$5)*('Innmelding'!$C$2:$C$701=$B29)*('Innmelding'!$D$2:$D$701='Oversikt'!N$8)*('Innmelding'!$H$2:$H$701&gt;0)))</f>
        <v/>
      </c>
      <c r="AL29">
        <f>IF(OR($B29="",'Oversikt'!O$8=""),0,SUMPRODUCT(('Innmelding'!$A$2:$A$701='Oversikt'!$C$4)*('Innmelding'!$B$2:$B$701='Oversikt'!$C$5)*('Innmelding'!$C$2:$C$701=$B29)*('Innmelding'!$D$2:$D$701='Oversikt'!O$8)*('Innmelding'!$H$2:$H$701&gt;0)))</f>
        <v/>
      </c>
      <c r="AM29">
        <f>IF(OR($B29="",'Oversikt'!P$8=""),0,SUMPRODUCT(('Innmelding'!$A$2:$A$701='Oversikt'!$C$4)*('Innmelding'!$B$2:$B$701='Oversikt'!$C$5)*('Innmelding'!$C$2:$C$701=$B29)*('Innmelding'!$D$2:$D$701='Oversikt'!P$8)*('Innmelding'!$H$2:$H$701&gt;0)))</f>
        <v/>
      </c>
      <c r="AN29">
        <f>IF(OR($B29="",'Oversikt'!Q$8=""),0,SUMPRODUCT(('Innmelding'!$A$2:$A$701='Oversikt'!$C$4)*('Innmelding'!$B$2:$B$701='Oversikt'!$C$5)*('Innmelding'!$C$2:$C$701=$B29)*('Innmelding'!$D$2:$D$701='Oversikt'!Q$8)*('Innmelding'!$H$2:$H$701&gt;0)))</f>
        <v/>
      </c>
    </row>
    <row r="30">
      <c r="A30" t="n">
        <v>29</v>
      </c>
      <c r="B30">
        <f>IFERROR(INDEX('Elevar'!$A$2:$AZ$41,$A30,MATCH('Oversikt'!$C$5,'Elevar'!$A$1:$AZ$1,0))&amp;"","")</f>
        <v/>
      </c>
      <c r="C30">
        <f>IF($B30="",-1-$A30/1000,COUNTIF($E30:$P30,3)*10000+COUNTIF($E30:$P30,2)*100+COUNTIF($E30:$P30,1)+(100-$A30)/1000)</f>
        <v/>
      </c>
      <c r="D30">
        <f>MATCH(LARGE($C$2:$C$41,$A30),$C$2:$C$41,0)</f>
        <v/>
      </c>
      <c r="E30">
        <f>IF(OR($B30="",'Oversikt'!F$8=""),0,SUMPRODUCT(MAX(('Innmelding'!$A$2:$A$701='Oversikt'!$C$4)*('Innmelding'!$B$2:$B$701='Oversikt'!$C$5)*('Innmelding'!$C$2:$C$701=$B30)*('Innmelding'!$D$2:$D$701='Oversikt'!F$8)*'Innmelding'!$H$2:$H$701)))</f>
        <v/>
      </c>
      <c r="F30">
        <f>IF(OR($B30="",'Oversikt'!G$8=""),0,SUMPRODUCT(MAX(('Innmelding'!$A$2:$A$701='Oversikt'!$C$4)*('Innmelding'!$B$2:$B$701='Oversikt'!$C$5)*('Innmelding'!$C$2:$C$701=$B30)*('Innmelding'!$D$2:$D$701='Oversikt'!G$8)*'Innmelding'!$H$2:$H$701)))</f>
        <v/>
      </c>
      <c r="G30">
        <f>IF(OR($B30="",'Oversikt'!H$8=""),0,SUMPRODUCT(MAX(('Innmelding'!$A$2:$A$701='Oversikt'!$C$4)*('Innmelding'!$B$2:$B$701='Oversikt'!$C$5)*('Innmelding'!$C$2:$C$701=$B30)*('Innmelding'!$D$2:$D$701='Oversikt'!H$8)*'Innmelding'!$H$2:$H$701)))</f>
        <v/>
      </c>
      <c r="H30">
        <f>IF(OR($B30="",'Oversikt'!I$8=""),0,SUMPRODUCT(MAX(('Innmelding'!$A$2:$A$701='Oversikt'!$C$4)*('Innmelding'!$B$2:$B$701='Oversikt'!$C$5)*('Innmelding'!$C$2:$C$701=$B30)*('Innmelding'!$D$2:$D$701='Oversikt'!I$8)*'Innmelding'!$H$2:$H$701)))</f>
        <v/>
      </c>
      <c r="I30">
        <f>IF(OR($B30="",'Oversikt'!J$8=""),0,SUMPRODUCT(MAX(('Innmelding'!$A$2:$A$701='Oversikt'!$C$4)*('Innmelding'!$B$2:$B$701='Oversikt'!$C$5)*('Innmelding'!$C$2:$C$701=$B30)*('Innmelding'!$D$2:$D$701='Oversikt'!J$8)*'Innmelding'!$H$2:$H$701)))</f>
        <v/>
      </c>
      <c r="J30">
        <f>IF(OR($B30="",'Oversikt'!K$8=""),0,SUMPRODUCT(MAX(('Innmelding'!$A$2:$A$701='Oversikt'!$C$4)*('Innmelding'!$B$2:$B$701='Oversikt'!$C$5)*('Innmelding'!$C$2:$C$701=$B30)*('Innmelding'!$D$2:$D$701='Oversikt'!K$8)*'Innmelding'!$H$2:$H$701)))</f>
        <v/>
      </c>
      <c r="K30">
        <f>IF(OR($B30="",'Oversikt'!L$8=""),0,SUMPRODUCT(MAX(('Innmelding'!$A$2:$A$701='Oversikt'!$C$4)*('Innmelding'!$B$2:$B$701='Oversikt'!$C$5)*('Innmelding'!$C$2:$C$701=$B30)*('Innmelding'!$D$2:$D$701='Oversikt'!L$8)*'Innmelding'!$H$2:$H$701)))</f>
        <v/>
      </c>
      <c r="L30">
        <f>IF(OR($B30="",'Oversikt'!M$8=""),0,SUMPRODUCT(MAX(('Innmelding'!$A$2:$A$701='Oversikt'!$C$4)*('Innmelding'!$B$2:$B$701='Oversikt'!$C$5)*('Innmelding'!$C$2:$C$701=$B30)*('Innmelding'!$D$2:$D$701='Oversikt'!M$8)*'Innmelding'!$H$2:$H$701)))</f>
        <v/>
      </c>
      <c r="M30">
        <f>IF(OR($B30="",'Oversikt'!N$8=""),0,SUMPRODUCT(MAX(('Innmelding'!$A$2:$A$701='Oversikt'!$C$4)*('Innmelding'!$B$2:$B$701='Oversikt'!$C$5)*('Innmelding'!$C$2:$C$701=$B30)*('Innmelding'!$D$2:$D$701='Oversikt'!N$8)*'Innmelding'!$H$2:$H$701)))</f>
        <v/>
      </c>
      <c r="N30">
        <f>IF(OR($B30="",'Oversikt'!O$8=""),0,SUMPRODUCT(MAX(('Innmelding'!$A$2:$A$701='Oversikt'!$C$4)*('Innmelding'!$B$2:$B$701='Oversikt'!$C$5)*('Innmelding'!$C$2:$C$701=$B30)*('Innmelding'!$D$2:$D$701='Oversikt'!O$8)*'Innmelding'!$H$2:$H$701)))</f>
        <v/>
      </c>
      <c r="O30">
        <f>IF(OR($B30="",'Oversikt'!P$8=""),0,SUMPRODUCT(MAX(('Innmelding'!$A$2:$A$701='Oversikt'!$C$4)*('Innmelding'!$B$2:$B$701='Oversikt'!$C$5)*('Innmelding'!$C$2:$C$701=$B30)*('Innmelding'!$D$2:$D$701='Oversikt'!P$8)*'Innmelding'!$H$2:$H$701)))</f>
        <v/>
      </c>
      <c r="P30">
        <f>IF(OR($B30="",'Oversikt'!Q$8=""),0,SUMPRODUCT(MAX(('Innmelding'!$A$2:$A$701='Oversikt'!$C$4)*('Innmelding'!$B$2:$B$701='Oversikt'!$C$5)*('Innmelding'!$C$2:$C$701=$B30)*('Innmelding'!$D$2:$D$701='Oversikt'!Q$8)*'Innmelding'!$H$2:$H$701)))</f>
        <v/>
      </c>
      <c r="Q30">
        <f>IF(OR($B30="",'Oversikt'!F$8="",'Oversikt'!$C$6=""),0,SUMPRODUCT(MAX(('Innmelding'!$A$2:$A$701='Oversikt'!$C$6)*('Innmelding'!$B$2:$B$701='Oversikt'!$C$5)*('Innmelding'!$C$2:$C$701=$B30)*('Innmelding'!$D$2:$D$701='Oversikt'!F$8)*'Innmelding'!$H$2:$H$701)))</f>
        <v/>
      </c>
      <c r="R30">
        <f>IF(OR($B30="",'Oversikt'!G$8="",'Oversikt'!$C$6=""),0,SUMPRODUCT(MAX(('Innmelding'!$A$2:$A$701='Oversikt'!$C$6)*('Innmelding'!$B$2:$B$701='Oversikt'!$C$5)*('Innmelding'!$C$2:$C$701=$B30)*('Innmelding'!$D$2:$D$701='Oversikt'!G$8)*'Innmelding'!$H$2:$H$701)))</f>
        <v/>
      </c>
      <c r="S30">
        <f>IF(OR($B30="",'Oversikt'!H$8="",'Oversikt'!$C$6=""),0,SUMPRODUCT(MAX(('Innmelding'!$A$2:$A$701='Oversikt'!$C$6)*('Innmelding'!$B$2:$B$701='Oversikt'!$C$5)*('Innmelding'!$C$2:$C$701=$B30)*('Innmelding'!$D$2:$D$701='Oversikt'!H$8)*'Innmelding'!$H$2:$H$701)))</f>
        <v/>
      </c>
      <c r="T30">
        <f>IF(OR($B30="",'Oversikt'!I$8="",'Oversikt'!$C$6=""),0,SUMPRODUCT(MAX(('Innmelding'!$A$2:$A$701='Oversikt'!$C$6)*('Innmelding'!$B$2:$B$701='Oversikt'!$C$5)*('Innmelding'!$C$2:$C$701=$B30)*('Innmelding'!$D$2:$D$701='Oversikt'!I$8)*'Innmelding'!$H$2:$H$701)))</f>
        <v/>
      </c>
      <c r="U30">
        <f>IF(OR($B30="",'Oversikt'!J$8="",'Oversikt'!$C$6=""),0,SUMPRODUCT(MAX(('Innmelding'!$A$2:$A$701='Oversikt'!$C$6)*('Innmelding'!$B$2:$B$701='Oversikt'!$C$5)*('Innmelding'!$C$2:$C$701=$B30)*('Innmelding'!$D$2:$D$701='Oversikt'!J$8)*'Innmelding'!$H$2:$H$701)))</f>
        <v/>
      </c>
      <c r="V30">
        <f>IF(OR($B30="",'Oversikt'!K$8="",'Oversikt'!$C$6=""),0,SUMPRODUCT(MAX(('Innmelding'!$A$2:$A$701='Oversikt'!$C$6)*('Innmelding'!$B$2:$B$701='Oversikt'!$C$5)*('Innmelding'!$C$2:$C$701=$B30)*('Innmelding'!$D$2:$D$701='Oversikt'!K$8)*'Innmelding'!$H$2:$H$701)))</f>
        <v/>
      </c>
      <c r="W30">
        <f>IF(OR($B30="",'Oversikt'!L$8="",'Oversikt'!$C$6=""),0,SUMPRODUCT(MAX(('Innmelding'!$A$2:$A$701='Oversikt'!$C$6)*('Innmelding'!$B$2:$B$701='Oversikt'!$C$5)*('Innmelding'!$C$2:$C$701=$B30)*('Innmelding'!$D$2:$D$701='Oversikt'!L$8)*'Innmelding'!$H$2:$H$701)))</f>
        <v/>
      </c>
      <c r="X30">
        <f>IF(OR($B30="",'Oversikt'!M$8="",'Oversikt'!$C$6=""),0,SUMPRODUCT(MAX(('Innmelding'!$A$2:$A$701='Oversikt'!$C$6)*('Innmelding'!$B$2:$B$701='Oversikt'!$C$5)*('Innmelding'!$C$2:$C$701=$B30)*('Innmelding'!$D$2:$D$701='Oversikt'!M$8)*'Innmelding'!$H$2:$H$701)))</f>
        <v/>
      </c>
      <c r="Y30">
        <f>IF(OR($B30="",'Oversikt'!N$8="",'Oversikt'!$C$6=""),0,SUMPRODUCT(MAX(('Innmelding'!$A$2:$A$701='Oversikt'!$C$6)*('Innmelding'!$B$2:$B$701='Oversikt'!$C$5)*('Innmelding'!$C$2:$C$701=$B30)*('Innmelding'!$D$2:$D$701='Oversikt'!N$8)*'Innmelding'!$H$2:$H$701)))</f>
        <v/>
      </c>
      <c r="Z30">
        <f>IF(OR($B30="",'Oversikt'!O$8="",'Oversikt'!$C$6=""),0,SUMPRODUCT(MAX(('Innmelding'!$A$2:$A$701='Oversikt'!$C$6)*('Innmelding'!$B$2:$B$701='Oversikt'!$C$5)*('Innmelding'!$C$2:$C$701=$B30)*('Innmelding'!$D$2:$D$701='Oversikt'!O$8)*'Innmelding'!$H$2:$H$701)))</f>
        <v/>
      </c>
      <c r="AA30">
        <f>IF(OR($B30="",'Oversikt'!P$8="",'Oversikt'!$C$6=""),0,SUMPRODUCT(MAX(('Innmelding'!$A$2:$A$701='Oversikt'!$C$6)*('Innmelding'!$B$2:$B$701='Oversikt'!$C$5)*('Innmelding'!$C$2:$C$701=$B30)*('Innmelding'!$D$2:$D$701='Oversikt'!P$8)*'Innmelding'!$H$2:$H$701)))</f>
        <v/>
      </c>
      <c r="AB30">
        <f>IF(OR($B30="",'Oversikt'!Q$8="",'Oversikt'!$C$6=""),0,SUMPRODUCT(MAX(('Innmelding'!$A$2:$A$701='Oversikt'!$C$6)*('Innmelding'!$B$2:$B$701='Oversikt'!$C$5)*('Innmelding'!$C$2:$C$701=$B30)*('Innmelding'!$D$2:$D$701='Oversikt'!Q$8)*'Innmelding'!$H$2:$H$701)))</f>
        <v/>
      </c>
      <c r="AC30">
        <f>IF(OR($B30="",'Oversikt'!F$8=""),0,SUMPRODUCT(('Innmelding'!$A$2:$A$701='Oversikt'!$C$4)*('Innmelding'!$B$2:$B$701='Oversikt'!$C$5)*('Innmelding'!$C$2:$C$701=$B30)*('Innmelding'!$D$2:$D$701='Oversikt'!F$8)*('Innmelding'!$H$2:$H$701&gt;0)))</f>
        <v/>
      </c>
      <c r="AD30">
        <f>IF(OR($B30="",'Oversikt'!G$8=""),0,SUMPRODUCT(('Innmelding'!$A$2:$A$701='Oversikt'!$C$4)*('Innmelding'!$B$2:$B$701='Oversikt'!$C$5)*('Innmelding'!$C$2:$C$701=$B30)*('Innmelding'!$D$2:$D$701='Oversikt'!G$8)*('Innmelding'!$H$2:$H$701&gt;0)))</f>
        <v/>
      </c>
      <c r="AE30">
        <f>IF(OR($B30="",'Oversikt'!H$8=""),0,SUMPRODUCT(('Innmelding'!$A$2:$A$701='Oversikt'!$C$4)*('Innmelding'!$B$2:$B$701='Oversikt'!$C$5)*('Innmelding'!$C$2:$C$701=$B30)*('Innmelding'!$D$2:$D$701='Oversikt'!H$8)*('Innmelding'!$H$2:$H$701&gt;0)))</f>
        <v/>
      </c>
      <c r="AF30">
        <f>IF(OR($B30="",'Oversikt'!I$8=""),0,SUMPRODUCT(('Innmelding'!$A$2:$A$701='Oversikt'!$C$4)*('Innmelding'!$B$2:$B$701='Oversikt'!$C$5)*('Innmelding'!$C$2:$C$701=$B30)*('Innmelding'!$D$2:$D$701='Oversikt'!I$8)*('Innmelding'!$H$2:$H$701&gt;0)))</f>
        <v/>
      </c>
      <c r="AG30">
        <f>IF(OR($B30="",'Oversikt'!J$8=""),0,SUMPRODUCT(('Innmelding'!$A$2:$A$701='Oversikt'!$C$4)*('Innmelding'!$B$2:$B$701='Oversikt'!$C$5)*('Innmelding'!$C$2:$C$701=$B30)*('Innmelding'!$D$2:$D$701='Oversikt'!J$8)*('Innmelding'!$H$2:$H$701&gt;0)))</f>
        <v/>
      </c>
      <c r="AH30">
        <f>IF(OR($B30="",'Oversikt'!K$8=""),0,SUMPRODUCT(('Innmelding'!$A$2:$A$701='Oversikt'!$C$4)*('Innmelding'!$B$2:$B$701='Oversikt'!$C$5)*('Innmelding'!$C$2:$C$701=$B30)*('Innmelding'!$D$2:$D$701='Oversikt'!K$8)*('Innmelding'!$H$2:$H$701&gt;0)))</f>
        <v/>
      </c>
      <c r="AI30">
        <f>IF(OR($B30="",'Oversikt'!L$8=""),0,SUMPRODUCT(('Innmelding'!$A$2:$A$701='Oversikt'!$C$4)*('Innmelding'!$B$2:$B$701='Oversikt'!$C$5)*('Innmelding'!$C$2:$C$701=$B30)*('Innmelding'!$D$2:$D$701='Oversikt'!L$8)*('Innmelding'!$H$2:$H$701&gt;0)))</f>
        <v/>
      </c>
      <c r="AJ30">
        <f>IF(OR($B30="",'Oversikt'!M$8=""),0,SUMPRODUCT(('Innmelding'!$A$2:$A$701='Oversikt'!$C$4)*('Innmelding'!$B$2:$B$701='Oversikt'!$C$5)*('Innmelding'!$C$2:$C$701=$B30)*('Innmelding'!$D$2:$D$701='Oversikt'!M$8)*('Innmelding'!$H$2:$H$701&gt;0)))</f>
        <v/>
      </c>
      <c r="AK30">
        <f>IF(OR($B30="",'Oversikt'!N$8=""),0,SUMPRODUCT(('Innmelding'!$A$2:$A$701='Oversikt'!$C$4)*('Innmelding'!$B$2:$B$701='Oversikt'!$C$5)*('Innmelding'!$C$2:$C$701=$B30)*('Innmelding'!$D$2:$D$701='Oversikt'!N$8)*('Innmelding'!$H$2:$H$701&gt;0)))</f>
        <v/>
      </c>
      <c r="AL30">
        <f>IF(OR($B30="",'Oversikt'!O$8=""),0,SUMPRODUCT(('Innmelding'!$A$2:$A$701='Oversikt'!$C$4)*('Innmelding'!$B$2:$B$701='Oversikt'!$C$5)*('Innmelding'!$C$2:$C$701=$B30)*('Innmelding'!$D$2:$D$701='Oversikt'!O$8)*('Innmelding'!$H$2:$H$701&gt;0)))</f>
        <v/>
      </c>
      <c r="AM30">
        <f>IF(OR($B30="",'Oversikt'!P$8=""),0,SUMPRODUCT(('Innmelding'!$A$2:$A$701='Oversikt'!$C$4)*('Innmelding'!$B$2:$B$701='Oversikt'!$C$5)*('Innmelding'!$C$2:$C$701=$B30)*('Innmelding'!$D$2:$D$701='Oversikt'!P$8)*('Innmelding'!$H$2:$H$701&gt;0)))</f>
        <v/>
      </c>
      <c r="AN30">
        <f>IF(OR($B30="",'Oversikt'!Q$8=""),0,SUMPRODUCT(('Innmelding'!$A$2:$A$701='Oversikt'!$C$4)*('Innmelding'!$B$2:$B$701='Oversikt'!$C$5)*('Innmelding'!$C$2:$C$701=$B30)*('Innmelding'!$D$2:$D$701='Oversikt'!Q$8)*('Innmelding'!$H$2:$H$701&gt;0)))</f>
        <v/>
      </c>
    </row>
    <row r="31">
      <c r="A31" t="n">
        <v>30</v>
      </c>
      <c r="B31">
        <f>IFERROR(INDEX('Elevar'!$A$2:$AZ$41,$A31,MATCH('Oversikt'!$C$5,'Elevar'!$A$1:$AZ$1,0))&amp;"","")</f>
        <v/>
      </c>
      <c r="C31">
        <f>IF($B31="",-1-$A31/1000,COUNTIF($E31:$P31,3)*10000+COUNTIF($E31:$P31,2)*100+COUNTIF($E31:$P31,1)+(100-$A31)/1000)</f>
        <v/>
      </c>
      <c r="D31">
        <f>MATCH(LARGE($C$2:$C$41,$A31),$C$2:$C$41,0)</f>
        <v/>
      </c>
      <c r="E31">
        <f>IF(OR($B31="",'Oversikt'!F$8=""),0,SUMPRODUCT(MAX(('Innmelding'!$A$2:$A$701='Oversikt'!$C$4)*('Innmelding'!$B$2:$B$701='Oversikt'!$C$5)*('Innmelding'!$C$2:$C$701=$B31)*('Innmelding'!$D$2:$D$701='Oversikt'!F$8)*'Innmelding'!$H$2:$H$701)))</f>
        <v/>
      </c>
      <c r="F31">
        <f>IF(OR($B31="",'Oversikt'!G$8=""),0,SUMPRODUCT(MAX(('Innmelding'!$A$2:$A$701='Oversikt'!$C$4)*('Innmelding'!$B$2:$B$701='Oversikt'!$C$5)*('Innmelding'!$C$2:$C$701=$B31)*('Innmelding'!$D$2:$D$701='Oversikt'!G$8)*'Innmelding'!$H$2:$H$701)))</f>
        <v/>
      </c>
      <c r="G31">
        <f>IF(OR($B31="",'Oversikt'!H$8=""),0,SUMPRODUCT(MAX(('Innmelding'!$A$2:$A$701='Oversikt'!$C$4)*('Innmelding'!$B$2:$B$701='Oversikt'!$C$5)*('Innmelding'!$C$2:$C$701=$B31)*('Innmelding'!$D$2:$D$701='Oversikt'!H$8)*'Innmelding'!$H$2:$H$701)))</f>
        <v/>
      </c>
      <c r="H31">
        <f>IF(OR($B31="",'Oversikt'!I$8=""),0,SUMPRODUCT(MAX(('Innmelding'!$A$2:$A$701='Oversikt'!$C$4)*('Innmelding'!$B$2:$B$701='Oversikt'!$C$5)*('Innmelding'!$C$2:$C$701=$B31)*('Innmelding'!$D$2:$D$701='Oversikt'!I$8)*'Innmelding'!$H$2:$H$701)))</f>
        <v/>
      </c>
      <c r="I31">
        <f>IF(OR($B31="",'Oversikt'!J$8=""),0,SUMPRODUCT(MAX(('Innmelding'!$A$2:$A$701='Oversikt'!$C$4)*('Innmelding'!$B$2:$B$701='Oversikt'!$C$5)*('Innmelding'!$C$2:$C$701=$B31)*('Innmelding'!$D$2:$D$701='Oversikt'!J$8)*'Innmelding'!$H$2:$H$701)))</f>
        <v/>
      </c>
      <c r="J31">
        <f>IF(OR($B31="",'Oversikt'!K$8=""),0,SUMPRODUCT(MAX(('Innmelding'!$A$2:$A$701='Oversikt'!$C$4)*('Innmelding'!$B$2:$B$701='Oversikt'!$C$5)*('Innmelding'!$C$2:$C$701=$B31)*('Innmelding'!$D$2:$D$701='Oversikt'!K$8)*'Innmelding'!$H$2:$H$701)))</f>
        <v/>
      </c>
      <c r="K31">
        <f>IF(OR($B31="",'Oversikt'!L$8=""),0,SUMPRODUCT(MAX(('Innmelding'!$A$2:$A$701='Oversikt'!$C$4)*('Innmelding'!$B$2:$B$701='Oversikt'!$C$5)*('Innmelding'!$C$2:$C$701=$B31)*('Innmelding'!$D$2:$D$701='Oversikt'!L$8)*'Innmelding'!$H$2:$H$701)))</f>
        <v/>
      </c>
      <c r="L31">
        <f>IF(OR($B31="",'Oversikt'!M$8=""),0,SUMPRODUCT(MAX(('Innmelding'!$A$2:$A$701='Oversikt'!$C$4)*('Innmelding'!$B$2:$B$701='Oversikt'!$C$5)*('Innmelding'!$C$2:$C$701=$B31)*('Innmelding'!$D$2:$D$701='Oversikt'!M$8)*'Innmelding'!$H$2:$H$701)))</f>
        <v/>
      </c>
      <c r="M31">
        <f>IF(OR($B31="",'Oversikt'!N$8=""),0,SUMPRODUCT(MAX(('Innmelding'!$A$2:$A$701='Oversikt'!$C$4)*('Innmelding'!$B$2:$B$701='Oversikt'!$C$5)*('Innmelding'!$C$2:$C$701=$B31)*('Innmelding'!$D$2:$D$701='Oversikt'!N$8)*'Innmelding'!$H$2:$H$701)))</f>
        <v/>
      </c>
      <c r="N31">
        <f>IF(OR($B31="",'Oversikt'!O$8=""),0,SUMPRODUCT(MAX(('Innmelding'!$A$2:$A$701='Oversikt'!$C$4)*('Innmelding'!$B$2:$B$701='Oversikt'!$C$5)*('Innmelding'!$C$2:$C$701=$B31)*('Innmelding'!$D$2:$D$701='Oversikt'!O$8)*'Innmelding'!$H$2:$H$701)))</f>
        <v/>
      </c>
      <c r="O31">
        <f>IF(OR($B31="",'Oversikt'!P$8=""),0,SUMPRODUCT(MAX(('Innmelding'!$A$2:$A$701='Oversikt'!$C$4)*('Innmelding'!$B$2:$B$701='Oversikt'!$C$5)*('Innmelding'!$C$2:$C$701=$B31)*('Innmelding'!$D$2:$D$701='Oversikt'!P$8)*'Innmelding'!$H$2:$H$701)))</f>
        <v/>
      </c>
      <c r="P31">
        <f>IF(OR($B31="",'Oversikt'!Q$8=""),0,SUMPRODUCT(MAX(('Innmelding'!$A$2:$A$701='Oversikt'!$C$4)*('Innmelding'!$B$2:$B$701='Oversikt'!$C$5)*('Innmelding'!$C$2:$C$701=$B31)*('Innmelding'!$D$2:$D$701='Oversikt'!Q$8)*'Innmelding'!$H$2:$H$701)))</f>
        <v/>
      </c>
      <c r="Q31">
        <f>IF(OR($B31="",'Oversikt'!F$8="",'Oversikt'!$C$6=""),0,SUMPRODUCT(MAX(('Innmelding'!$A$2:$A$701='Oversikt'!$C$6)*('Innmelding'!$B$2:$B$701='Oversikt'!$C$5)*('Innmelding'!$C$2:$C$701=$B31)*('Innmelding'!$D$2:$D$701='Oversikt'!F$8)*'Innmelding'!$H$2:$H$701)))</f>
        <v/>
      </c>
      <c r="R31">
        <f>IF(OR($B31="",'Oversikt'!G$8="",'Oversikt'!$C$6=""),0,SUMPRODUCT(MAX(('Innmelding'!$A$2:$A$701='Oversikt'!$C$6)*('Innmelding'!$B$2:$B$701='Oversikt'!$C$5)*('Innmelding'!$C$2:$C$701=$B31)*('Innmelding'!$D$2:$D$701='Oversikt'!G$8)*'Innmelding'!$H$2:$H$701)))</f>
        <v/>
      </c>
      <c r="S31">
        <f>IF(OR($B31="",'Oversikt'!H$8="",'Oversikt'!$C$6=""),0,SUMPRODUCT(MAX(('Innmelding'!$A$2:$A$701='Oversikt'!$C$6)*('Innmelding'!$B$2:$B$701='Oversikt'!$C$5)*('Innmelding'!$C$2:$C$701=$B31)*('Innmelding'!$D$2:$D$701='Oversikt'!H$8)*'Innmelding'!$H$2:$H$701)))</f>
        <v/>
      </c>
      <c r="T31">
        <f>IF(OR($B31="",'Oversikt'!I$8="",'Oversikt'!$C$6=""),0,SUMPRODUCT(MAX(('Innmelding'!$A$2:$A$701='Oversikt'!$C$6)*('Innmelding'!$B$2:$B$701='Oversikt'!$C$5)*('Innmelding'!$C$2:$C$701=$B31)*('Innmelding'!$D$2:$D$701='Oversikt'!I$8)*'Innmelding'!$H$2:$H$701)))</f>
        <v/>
      </c>
      <c r="U31">
        <f>IF(OR($B31="",'Oversikt'!J$8="",'Oversikt'!$C$6=""),0,SUMPRODUCT(MAX(('Innmelding'!$A$2:$A$701='Oversikt'!$C$6)*('Innmelding'!$B$2:$B$701='Oversikt'!$C$5)*('Innmelding'!$C$2:$C$701=$B31)*('Innmelding'!$D$2:$D$701='Oversikt'!J$8)*'Innmelding'!$H$2:$H$701)))</f>
        <v/>
      </c>
      <c r="V31">
        <f>IF(OR($B31="",'Oversikt'!K$8="",'Oversikt'!$C$6=""),0,SUMPRODUCT(MAX(('Innmelding'!$A$2:$A$701='Oversikt'!$C$6)*('Innmelding'!$B$2:$B$701='Oversikt'!$C$5)*('Innmelding'!$C$2:$C$701=$B31)*('Innmelding'!$D$2:$D$701='Oversikt'!K$8)*'Innmelding'!$H$2:$H$701)))</f>
        <v/>
      </c>
      <c r="W31">
        <f>IF(OR($B31="",'Oversikt'!L$8="",'Oversikt'!$C$6=""),0,SUMPRODUCT(MAX(('Innmelding'!$A$2:$A$701='Oversikt'!$C$6)*('Innmelding'!$B$2:$B$701='Oversikt'!$C$5)*('Innmelding'!$C$2:$C$701=$B31)*('Innmelding'!$D$2:$D$701='Oversikt'!L$8)*'Innmelding'!$H$2:$H$701)))</f>
        <v/>
      </c>
      <c r="X31">
        <f>IF(OR($B31="",'Oversikt'!M$8="",'Oversikt'!$C$6=""),0,SUMPRODUCT(MAX(('Innmelding'!$A$2:$A$701='Oversikt'!$C$6)*('Innmelding'!$B$2:$B$701='Oversikt'!$C$5)*('Innmelding'!$C$2:$C$701=$B31)*('Innmelding'!$D$2:$D$701='Oversikt'!M$8)*'Innmelding'!$H$2:$H$701)))</f>
        <v/>
      </c>
      <c r="Y31">
        <f>IF(OR($B31="",'Oversikt'!N$8="",'Oversikt'!$C$6=""),0,SUMPRODUCT(MAX(('Innmelding'!$A$2:$A$701='Oversikt'!$C$6)*('Innmelding'!$B$2:$B$701='Oversikt'!$C$5)*('Innmelding'!$C$2:$C$701=$B31)*('Innmelding'!$D$2:$D$701='Oversikt'!N$8)*'Innmelding'!$H$2:$H$701)))</f>
        <v/>
      </c>
      <c r="Z31">
        <f>IF(OR($B31="",'Oversikt'!O$8="",'Oversikt'!$C$6=""),0,SUMPRODUCT(MAX(('Innmelding'!$A$2:$A$701='Oversikt'!$C$6)*('Innmelding'!$B$2:$B$701='Oversikt'!$C$5)*('Innmelding'!$C$2:$C$701=$B31)*('Innmelding'!$D$2:$D$701='Oversikt'!O$8)*'Innmelding'!$H$2:$H$701)))</f>
        <v/>
      </c>
      <c r="AA31">
        <f>IF(OR($B31="",'Oversikt'!P$8="",'Oversikt'!$C$6=""),0,SUMPRODUCT(MAX(('Innmelding'!$A$2:$A$701='Oversikt'!$C$6)*('Innmelding'!$B$2:$B$701='Oversikt'!$C$5)*('Innmelding'!$C$2:$C$701=$B31)*('Innmelding'!$D$2:$D$701='Oversikt'!P$8)*'Innmelding'!$H$2:$H$701)))</f>
        <v/>
      </c>
      <c r="AB31">
        <f>IF(OR($B31="",'Oversikt'!Q$8="",'Oversikt'!$C$6=""),0,SUMPRODUCT(MAX(('Innmelding'!$A$2:$A$701='Oversikt'!$C$6)*('Innmelding'!$B$2:$B$701='Oversikt'!$C$5)*('Innmelding'!$C$2:$C$701=$B31)*('Innmelding'!$D$2:$D$701='Oversikt'!Q$8)*'Innmelding'!$H$2:$H$701)))</f>
        <v/>
      </c>
      <c r="AC31">
        <f>IF(OR($B31="",'Oversikt'!F$8=""),0,SUMPRODUCT(('Innmelding'!$A$2:$A$701='Oversikt'!$C$4)*('Innmelding'!$B$2:$B$701='Oversikt'!$C$5)*('Innmelding'!$C$2:$C$701=$B31)*('Innmelding'!$D$2:$D$701='Oversikt'!F$8)*('Innmelding'!$H$2:$H$701&gt;0)))</f>
        <v/>
      </c>
      <c r="AD31">
        <f>IF(OR($B31="",'Oversikt'!G$8=""),0,SUMPRODUCT(('Innmelding'!$A$2:$A$701='Oversikt'!$C$4)*('Innmelding'!$B$2:$B$701='Oversikt'!$C$5)*('Innmelding'!$C$2:$C$701=$B31)*('Innmelding'!$D$2:$D$701='Oversikt'!G$8)*('Innmelding'!$H$2:$H$701&gt;0)))</f>
        <v/>
      </c>
      <c r="AE31">
        <f>IF(OR($B31="",'Oversikt'!H$8=""),0,SUMPRODUCT(('Innmelding'!$A$2:$A$701='Oversikt'!$C$4)*('Innmelding'!$B$2:$B$701='Oversikt'!$C$5)*('Innmelding'!$C$2:$C$701=$B31)*('Innmelding'!$D$2:$D$701='Oversikt'!H$8)*('Innmelding'!$H$2:$H$701&gt;0)))</f>
        <v/>
      </c>
      <c r="AF31">
        <f>IF(OR($B31="",'Oversikt'!I$8=""),0,SUMPRODUCT(('Innmelding'!$A$2:$A$701='Oversikt'!$C$4)*('Innmelding'!$B$2:$B$701='Oversikt'!$C$5)*('Innmelding'!$C$2:$C$701=$B31)*('Innmelding'!$D$2:$D$701='Oversikt'!I$8)*('Innmelding'!$H$2:$H$701&gt;0)))</f>
        <v/>
      </c>
      <c r="AG31">
        <f>IF(OR($B31="",'Oversikt'!J$8=""),0,SUMPRODUCT(('Innmelding'!$A$2:$A$701='Oversikt'!$C$4)*('Innmelding'!$B$2:$B$701='Oversikt'!$C$5)*('Innmelding'!$C$2:$C$701=$B31)*('Innmelding'!$D$2:$D$701='Oversikt'!J$8)*('Innmelding'!$H$2:$H$701&gt;0)))</f>
        <v/>
      </c>
      <c r="AH31">
        <f>IF(OR($B31="",'Oversikt'!K$8=""),0,SUMPRODUCT(('Innmelding'!$A$2:$A$701='Oversikt'!$C$4)*('Innmelding'!$B$2:$B$701='Oversikt'!$C$5)*('Innmelding'!$C$2:$C$701=$B31)*('Innmelding'!$D$2:$D$701='Oversikt'!K$8)*('Innmelding'!$H$2:$H$701&gt;0)))</f>
        <v/>
      </c>
      <c r="AI31">
        <f>IF(OR($B31="",'Oversikt'!L$8=""),0,SUMPRODUCT(('Innmelding'!$A$2:$A$701='Oversikt'!$C$4)*('Innmelding'!$B$2:$B$701='Oversikt'!$C$5)*('Innmelding'!$C$2:$C$701=$B31)*('Innmelding'!$D$2:$D$701='Oversikt'!L$8)*('Innmelding'!$H$2:$H$701&gt;0)))</f>
        <v/>
      </c>
      <c r="AJ31">
        <f>IF(OR($B31="",'Oversikt'!M$8=""),0,SUMPRODUCT(('Innmelding'!$A$2:$A$701='Oversikt'!$C$4)*('Innmelding'!$B$2:$B$701='Oversikt'!$C$5)*('Innmelding'!$C$2:$C$701=$B31)*('Innmelding'!$D$2:$D$701='Oversikt'!M$8)*('Innmelding'!$H$2:$H$701&gt;0)))</f>
        <v/>
      </c>
      <c r="AK31">
        <f>IF(OR($B31="",'Oversikt'!N$8=""),0,SUMPRODUCT(('Innmelding'!$A$2:$A$701='Oversikt'!$C$4)*('Innmelding'!$B$2:$B$701='Oversikt'!$C$5)*('Innmelding'!$C$2:$C$701=$B31)*('Innmelding'!$D$2:$D$701='Oversikt'!N$8)*('Innmelding'!$H$2:$H$701&gt;0)))</f>
        <v/>
      </c>
      <c r="AL31">
        <f>IF(OR($B31="",'Oversikt'!O$8=""),0,SUMPRODUCT(('Innmelding'!$A$2:$A$701='Oversikt'!$C$4)*('Innmelding'!$B$2:$B$701='Oversikt'!$C$5)*('Innmelding'!$C$2:$C$701=$B31)*('Innmelding'!$D$2:$D$701='Oversikt'!O$8)*('Innmelding'!$H$2:$H$701&gt;0)))</f>
        <v/>
      </c>
      <c r="AM31">
        <f>IF(OR($B31="",'Oversikt'!P$8=""),0,SUMPRODUCT(('Innmelding'!$A$2:$A$701='Oversikt'!$C$4)*('Innmelding'!$B$2:$B$701='Oversikt'!$C$5)*('Innmelding'!$C$2:$C$701=$B31)*('Innmelding'!$D$2:$D$701='Oversikt'!P$8)*('Innmelding'!$H$2:$H$701&gt;0)))</f>
        <v/>
      </c>
      <c r="AN31">
        <f>IF(OR($B31="",'Oversikt'!Q$8=""),0,SUMPRODUCT(('Innmelding'!$A$2:$A$701='Oversikt'!$C$4)*('Innmelding'!$B$2:$B$701='Oversikt'!$C$5)*('Innmelding'!$C$2:$C$701=$B31)*('Innmelding'!$D$2:$D$701='Oversikt'!Q$8)*('Innmelding'!$H$2:$H$701&gt;0)))</f>
        <v/>
      </c>
    </row>
    <row r="32">
      <c r="A32" t="n">
        <v>31</v>
      </c>
      <c r="B32">
        <f>IFERROR(INDEX('Elevar'!$A$2:$AZ$41,$A32,MATCH('Oversikt'!$C$5,'Elevar'!$A$1:$AZ$1,0))&amp;"","")</f>
        <v/>
      </c>
      <c r="C32">
        <f>IF($B32="",-1-$A32/1000,COUNTIF($E32:$P32,3)*10000+COUNTIF($E32:$P32,2)*100+COUNTIF($E32:$P32,1)+(100-$A32)/1000)</f>
        <v/>
      </c>
      <c r="D32">
        <f>MATCH(LARGE($C$2:$C$41,$A32),$C$2:$C$41,0)</f>
        <v/>
      </c>
      <c r="E32">
        <f>IF(OR($B32="",'Oversikt'!F$8=""),0,SUMPRODUCT(MAX(('Innmelding'!$A$2:$A$701='Oversikt'!$C$4)*('Innmelding'!$B$2:$B$701='Oversikt'!$C$5)*('Innmelding'!$C$2:$C$701=$B32)*('Innmelding'!$D$2:$D$701='Oversikt'!F$8)*'Innmelding'!$H$2:$H$701)))</f>
        <v/>
      </c>
      <c r="F32">
        <f>IF(OR($B32="",'Oversikt'!G$8=""),0,SUMPRODUCT(MAX(('Innmelding'!$A$2:$A$701='Oversikt'!$C$4)*('Innmelding'!$B$2:$B$701='Oversikt'!$C$5)*('Innmelding'!$C$2:$C$701=$B32)*('Innmelding'!$D$2:$D$701='Oversikt'!G$8)*'Innmelding'!$H$2:$H$701)))</f>
        <v/>
      </c>
      <c r="G32">
        <f>IF(OR($B32="",'Oversikt'!H$8=""),0,SUMPRODUCT(MAX(('Innmelding'!$A$2:$A$701='Oversikt'!$C$4)*('Innmelding'!$B$2:$B$701='Oversikt'!$C$5)*('Innmelding'!$C$2:$C$701=$B32)*('Innmelding'!$D$2:$D$701='Oversikt'!H$8)*'Innmelding'!$H$2:$H$701)))</f>
        <v/>
      </c>
      <c r="H32">
        <f>IF(OR($B32="",'Oversikt'!I$8=""),0,SUMPRODUCT(MAX(('Innmelding'!$A$2:$A$701='Oversikt'!$C$4)*('Innmelding'!$B$2:$B$701='Oversikt'!$C$5)*('Innmelding'!$C$2:$C$701=$B32)*('Innmelding'!$D$2:$D$701='Oversikt'!I$8)*'Innmelding'!$H$2:$H$701)))</f>
        <v/>
      </c>
      <c r="I32">
        <f>IF(OR($B32="",'Oversikt'!J$8=""),0,SUMPRODUCT(MAX(('Innmelding'!$A$2:$A$701='Oversikt'!$C$4)*('Innmelding'!$B$2:$B$701='Oversikt'!$C$5)*('Innmelding'!$C$2:$C$701=$B32)*('Innmelding'!$D$2:$D$701='Oversikt'!J$8)*'Innmelding'!$H$2:$H$701)))</f>
        <v/>
      </c>
      <c r="J32">
        <f>IF(OR($B32="",'Oversikt'!K$8=""),0,SUMPRODUCT(MAX(('Innmelding'!$A$2:$A$701='Oversikt'!$C$4)*('Innmelding'!$B$2:$B$701='Oversikt'!$C$5)*('Innmelding'!$C$2:$C$701=$B32)*('Innmelding'!$D$2:$D$701='Oversikt'!K$8)*'Innmelding'!$H$2:$H$701)))</f>
        <v/>
      </c>
      <c r="K32">
        <f>IF(OR($B32="",'Oversikt'!L$8=""),0,SUMPRODUCT(MAX(('Innmelding'!$A$2:$A$701='Oversikt'!$C$4)*('Innmelding'!$B$2:$B$701='Oversikt'!$C$5)*('Innmelding'!$C$2:$C$701=$B32)*('Innmelding'!$D$2:$D$701='Oversikt'!L$8)*'Innmelding'!$H$2:$H$701)))</f>
        <v/>
      </c>
      <c r="L32">
        <f>IF(OR($B32="",'Oversikt'!M$8=""),0,SUMPRODUCT(MAX(('Innmelding'!$A$2:$A$701='Oversikt'!$C$4)*('Innmelding'!$B$2:$B$701='Oversikt'!$C$5)*('Innmelding'!$C$2:$C$701=$B32)*('Innmelding'!$D$2:$D$701='Oversikt'!M$8)*'Innmelding'!$H$2:$H$701)))</f>
        <v/>
      </c>
      <c r="M32">
        <f>IF(OR($B32="",'Oversikt'!N$8=""),0,SUMPRODUCT(MAX(('Innmelding'!$A$2:$A$701='Oversikt'!$C$4)*('Innmelding'!$B$2:$B$701='Oversikt'!$C$5)*('Innmelding'!$C$2:$C$701=$B32)*('Innmelding'!$D$2:$D$701='Oversikt'!N$8)*'Innmelding'!$H$2:$H$701)))</f>
        <v/>
      </c>
      <c r="N32">
        <f>IF(OR($B32="",'Oversikt'!O$8=""),0,SUMPRODUCT(MAX(('Innmelding'!$A$2:$A$701='Oversikt'!$C$4)*('Innmelding'!$B$2:$B$701='Oversikt'!$C$5)*('Innmelding'!$C$2:$C$701=$B32)*('Innmelding'!$D$2:$D$701='Oversikt'!O$8)*'Innmelding'!$H$2:$H$701)))</f>
        <v/>
      </c>
      <c r="O32">
        <f>IF(OR($B32="",'Oversikt'!P$8=""),0,SUMPRODUCT(MAX(('Innmelding'!$A$2:$A$701='Oversikt'!$C$4)*('Innmelding'!$B$2:$B$701='Oversikt'!$C$5)*('Innmelding'!$C$2:$C$701=$B32)*('Innmelding'!$D$2:$D$701='Oversikt'!P$8)*'Innmelding'!$H$2:$H$701)))</f>
        <v/>
      </c>
      <c r="P32">
        <f>IF(OR($B32="",'Oversikt'!Q$8=""),0,SUMPRODUCT(MAX(('Innmelding'!$A$2:$A$701='Oversikt'!$C$4)*('Innmelding'!$B$2:$B$701='Oversikt'!$C$5)*('Innmelding'!$C$2:$C$701=$B32)*('Innmelding'!$D$2:$D$701='Oversikt'!Q$8)*'Innmelding'!$H$2:$H$701)))</f>
        <v/>
      </c>
      <c r="Q32">
        <f>IF(OR($B32="",'Oversikt'!F$8="",'Oversikt'!$C$6=""),0,SUMPRODUCT(MAX(('Innmelding'!$A$2:$A$701='Oversikt'!$C$6)*('Innmelding'!$B$2:$B$701='Oversikt'!$C$5)*('Innmelding'!$C$2:$C$701=$B32)*('Innmelding'!$D$2:$D$701='Oversikt'!F$8)*'Innmelding'!$H$2:$H$701)))</f>
        <v/>
      </c>
      <c r="R32">
        <f>IF(OR($B32="",'Oversikt'!G$8="",'Oversikt'!$C$6=""),0,SUMPRODUCT(MAX(('Innmelding'!$A$2:$A$701='Oversikt'!$C$6)*('Innmelding'!$B$2:$B$701='Oversikt'!$C$5)*('Innmelding'!$C$2:$C$701=$B32)*('Innmelding'!$D$2:$D$701='Oversikt'!G$8)*'Innmelding'!$H$2:$H$701)))</f>
        <v/>
      </c>
      <c r="S32">
        <f>IF(OR($B32="",'Oversikt'!H$8="",'Oversikt'!$C$6=""),0,SUMPRODUCT(MAX(('Innmelding'!$A$2:$A$701='Oversikt'!$C$6)*('Innmelding'!$B$2:$B$701='Oversikt'!$C$5)*('Innmelding'!$C$2:$C$701=$B32)*('Innmelding'!$D$2:$D$701='Oversikt'!H$8)*'Innmelding'!$H$2:$H$701)))</f>
        <v/>
      </c>
      <c r="T32">
        <f>IF(OR($B32="",'Oversikt'!I$8="",'Oversikt'!$C$6=""),0,SUMPRODUCT(MAX(('Innmelding'!$A$2:$A$701='Oversikt'!$C$6)*('Innmelding'!$B$2:$B$701='Oversikt'!$C$5)*('Innmelding'!$C$2:$C$701=$B32)*('Innmelding'!$D$2:$D$701='Oversikt'!I$8)*'Innmelding'!$H$2:$H$701)))</f>
        <v/>
      </c>
      <c r="U32">
        <f>IF(OR($B32="",'Oversikt'!J$8="",'Oversikt'!$C$6=""),0,SUMPRODUCT(MAX(('Innmelding'!$A$2:$A$701='Oversikt'!$C$6)*('Innmelding'!$B$2:$B$701='Oversikt'!$C$5)*('Innmelding'!$C$2:$C$701=$B32)*('Innmelding'!$D$2:$D$701='Oversikt'!J$8)*'Innmelding'!$H$2:$H$701)))</f>
        <v/>
      </c>
      <c r="V32">
        <f>IF(OR($B32="",'Oversikt'!K$8="",'Oversikt'!$C$6=""),0,SUMPRODUCT(MAX(('Innmelding'!$A$2:$A$701='Oversikt'!$C$6)*('Innmelding'!$B$2:$B$701='Oversikt'!$C$5)*('Innmelding'!$C$2:$C$701=$B32)*('Innmelding'!$D$2:$D$701='Oversikt'!K$8)*'Innmelding'!$H$2:$H$701)))</f>
        <v/>
      </c>
      <c r="W32">
        <f>IF(OR($B32="",'Oversikt'!L$8="",'Oversikt'!$C$6=""),0,SUMPRODUCT(MAX(('Innmelding'!$A$2:$A$701='Oversikt'!$C$6)*('Innmelding'!$B$2:$B$701='Oversikt'!$C$5)*('Innmelding'!$C$2:$C$701=$B32)*('Innmelding'!$D$2:$D$701='Oversikt'!L$8)*'Innmelding'!$H$2:$H$701)))</f>
        <v/>
      </c>
      <c r="X32">
        <f>IF(OR($B32="",'Oversikt'!M$8="",'Oversikt'!$C$6=""),0,SUMPRODUCT(MAX(('Innmelding'!$A$2:$A$701='Oversikt'!$C$6)*('Innmelding'!$B$2:$B$701='Oversikt'!$C$5)*('Innmelding'!$C$2:$C$701=$B32)*('Innmelding'!$D$2:$D$701='Oversikt'!M$8)*'Innmelding'!$H$2:$H$701)))</f>
        <v/>
      </c>
      <c r="Y32">
        <f>IF(OR($B32="",'Oversikt'!N$8="",'Oversikt'!$C$6=""),0,SUMPRODUCT(MAX(('Innmelding'!$A$2:$A$701='Oversikt'!$C$6)*('Innmelding'!$B$2:$B$701='Oversikt'!$C$5)*('Innmelding'!$C$2:$C$701=$B32)*('Innmelding'!$D$2:$D$701='Oversikt'!N$8)*'Innmelding'!$H$2:$H$701)))</f>
        <v/>
      </c>
      <c r="Z32">
        <f>IF(OR($B32="",'Oversikt'!O$8="",'Oversikt'!$C$6=""),0,SUMPRODUCT(MAX(('Innmelding'!$A$2:$A$701='Oversikt'!$C$6)*('Innmelding'!$B$2:$B$701='Oversikt'!$C$5)*('Innmelding'!$C$2:$C$701=$B32)*('Innmelding'!$D$2:$D$701='Oversikt'!O$8)*'Innmelding'!$H$2:$H$701)))</f>
        <v/>
      </c>
      <c r="AA32">
        <f>IF(OR($B32="",'Oversikt'!P$8="",'Oversikt'!$C$6=""),0,SUMPRODUCT(MAX(('Innmelding'!$A$2:$A$701='Oversikt'!$C$6)*('Innmelding'!$B$2:$B$701='Oversikt'!$C$5)*('Innmelding'!$C$2:$C$701=$B32)*('Innmelding'!$D$2:$D$701='Oversikt'!P$8)*'Innmelding'!$H$2:$H$701)))</f>
        <v/>
      </c>
      <c r="AB32">
        <f>IF(OR($B32="",'Oversikt'!Q$8="",'Oversikt'!$C$6=""),0,SUMPRODUCT(MAX(('Innmelding'!$A$2:$A$701='Oversikt'!$C$6)*('Innmelding'!$B$2:$B$701='Oversikt'!$C$5)*('Innmelding'!$C$2:$C$701=$B32)*('Innmelding'!$D$2:$D$701='Oversikt'!Q$8)*'Innmelding'!$H$2:$H$701)))</f>
        <v/>
      </c>
      <c r="AC32">
        <f>IF(OR($B32="",'Oversikt'!F$8=""),0,SUMPRODUCT(('Innmelding'!$A$2:$A$701='Oversikt'!$C$4)*('Innmelding'!$B$2:$B$701='Oversikt'!$C$5)*('Innmelding'!$C$2:$C$701=$B32)*('Innmelding'!$D$2:$D$701='Oversikt'!F$8)*('Innmelding'!$H$2:$H$701&gt;0)))</f>
        <v/>
      </c>
      <c r="AD32">
        <f>IF(OR($B32="",'Oversikt'!G$8=""),0,SUMPRODUCT(('Innmelding'!$A$2:$A$701='Oversikt'!$C$4)*('Innmelding'!$B$2:$B$701='Oversikt'!$C$5)*('Innmelding'!$C$2:$C$701=$B32)*('Innmelding'!$D$2:$D$701='Oversikt'!G$8)*('Innmelding'!$H$2:$H$701&gt;0)))</f>
        <v/>
      </c>
      <c r="AE32">
        <f>IF(OR($B32="",'Oversikt'!H$8=""),0,SUMPRODUCT(('Innmelding'!$A$2:$A$701='Oversikt'!$C$4)*('Innmelding'!$B$2:$B$701='Oversikt'!$C$5)*('Innmelding'!$C$2:$C$701=$B32)*('Innmelding'!$D$2:$D$701='Oversikt'!H$8)*('Innmelding'!$H$2:$H$701&gt;0)))</f>
        <v/>
      </c>
      <c r="AF32">
        <f>IF(OR($B32="",'Oversikt'!I$8=""),0,SUMPRODUCT(('Innmelding'!$A$2:$A$701='Oversikt'!$C$4)*('Innmelding'!$B$2:$B$701='Oversikt'!$C$5)*('Innmelding'!$C$2:$C$701=$B32)*('Innmelding'!$D$2:$D$701='Oversikt'!I$8)*('Innmelding'!$H$2:$H$701&gt;0)))</f>
        <v/>
      </c>
      <c r="AG32">
        <f>IF(OR($B32="",'Oversikt'!J$8=""),0,SUMPRODUCT(('Innmelding'!$A$2:$A$701='Oversikt'!$C$4)*('Innmelding'!$B$2:$B$701='Oversikt'!$C$5)*('Innmelding'!$C$2:$C$701=$B32)*('Innmelding'!$D$2:$D$701='Oversikt'!J$8)*('Innmelding'!$H$2:$H$701&gt;0)))</f>
        <v/>
      </c>
      <c r="AH32">
        <f>IF(OR($B32="",'Oversikt'!K$8=""),0,SUMPRODUCT(('Innmelding'!$A$2:$A$701='Oversikt'!$C$4)*('Innmelding'!$B$2:$B$701='Oversikt'!$C$5)*('Innmelding'!$C$2:$C$701=$B32)*('Innmelding'!$D$2:$D$701='Oversikt'!K$8)*('Innmelding'!$H$2:$H$701&gt;0)))</f>
        <v/>
      </c>
      <c r="AI32">
        <f>IF(OR($B32="",'Oversikt'!L$8=""),0,SUMPRODUCT(('Innmelding'!$A$2:$A$701='Oversikt'!$C$4)*('Innmelding'!$B$2:$B$701='Oversikt'!$C$5)*('Innmelding'!$C$2:$C$701=$B32)*('Innmelding'!$D$2:$D$701='Oversikt'!L$8)*('Innmelding'!$H$2:$H$701&gt;0)))</f>
        <v/>
      </c>
      <c r="AJ32">
        <f>IF(OR($B32="",'Oversikt'!M$8=""),0,SUMPRODUCT(('Innmelding'!$A$2:$A$701='Oversikt'!$C$4)*('Innmelding'!$B$2:$B$701='Oversikt'!$C$5)*('Innmelding'!$C$2:$C$701=$B32)*('Innmelding'!$D$2:$D$701='Oversikt'!M$8)*('Innmelding'!$H$2:$H$701&gt;0)))</f>
        <v/>
      </c>
      <c r="AK32">
        <f>IF(OR($B32="",'Oversikt'!N$8=""),0,SUMPRODUCT(('Innmelding'!$A$2:$A$701='Oversikt'!$C$4)*('Innmelding'!$B$2:$B$701='Oversikt'!$C$5)*('Innmelding'!$C$2:$C$701=$B32)*('Innmelding'!$D$2:$D$701='Oversikt'!N$8)*('Innmelding'!$H$2:$H$701&gt;0)))</f>
        <v/>
      </c>
      <c r="AL32">
        <f>IF(OR($B32="",'Oversikt'!O$8=""),0,SUMPRODUCT(('Innmelding'!$A$2:$A$701='Oversikt'!$C$4)*('Innmelding'!$B$2:$B$701='Oversikt'!$C$5)*('Innmelding'!$C$2:$C$701=$B32)*('Innmelding'!$D$2:$D$701='Oversikt'!O$8)*('Innmelding'!$H$2:$H$701&gt;0)))</f>
        <v/>
      </c>
      <c r="AM32">
        <f>IF(OR($B32="",'Oversikt'!P$8=""),0,SUMPRODUCT(('Innmelding'!$A$2:$A$701='Oversikt'!$C$4)*('Innmelding'!$B$2:$B$701='Oversikt'!$C$5)*('Innmelding'!$C$2:$C$701=$B32)*('Innmelding'!$D$2:$D$701='Oversikt'!P$8)*('Innmelding'!$H$2:$H$701&gt;0)))</f>
        <v/>
      </c>
      <c r="AN32">
        <f>IF(OR($B32="",'Oversikt'!Q$8=""),0,SUMPRODUCT(('Innmelding'!$A$2:$A$701='Oversikt'!$C$4)*('Innmelding'!$B$2:$B$701='Oversikt'!$C$5)*('Innmelding'!$C$2:$C$701=$B32)*('Innmelding'!$D$2:$D$701='Oversikt'!Q$8)*('Innmelding'!$H$2:$H$701&gt;0)))</f>
        <v/>
      </c>
    </row>
    <row r="33">
      <c r="A33" t="n">
        <v>32</v>
      </c>
      <c r="B33">
        <f>IFERROR(INDEX('Elevar'!$A$2:$AZ$41,$A33,MATCH('Oversikt'!$C$5,'Elevar'!$A$1:$AZ$1,0))&amp;"","")</f>
        <v/>
      </c>
      <c r="C33">
        <f>IF($B33="",-1-$A33/1000,COUNTIF($E33:$P33,3)*10000+COUNTIF($E33:$P33,2)*100+COUNTIF($E33:$P33,1)+(100-$A33)/1000)</f>
        <v/>
      </c>
      <c r="D33">
        <f>MATCH(LARGE($C$2:$C$41,$A33),$C$2:$C$41,0)</f>
        <v/>
      </c>
      <c r="E33">
        <f>IF(OR($B33="",'Oversikt'!F$8=""),0,SUMPRODUCT(MAX(('Innmelding'!$A$2:$A$701='Oversikt'!$C$4)*('Innmelding'!$B$2:$B$701='Oversikt'!$C$5)*('Innmelding'!$C$2:$C$701=$B33)*('Innmelding'!$D$2:$D$701='Oversikt'!F$8)*'Innmelding'!$H$2:$H$701)))</f>
        <v/>
      </c>
      <c r="F33">
        <f>IF(OR($B33="",'Oversikt'!G$8=""),0,SUMPRODUCT(MAX(('Innmelding'!$A$2:$A$701='Oversikt'!$C$4)*('Innmelding'!$B$2:$B$701='Oversikt'!$C$5)*('Innmelding'!$C$2:$C$701=$B33)*('Innmelding'!$D$2:$D$701='Oversikt'!G$8)*'Innmelding'!$H$2:$H$701)))</f>
        <v/>
      </c>
      <c r="G33">
        <f>IF(OR($B33="",'Oversikt'!H$8=""),0,SUMPRODUCT(MAX(('Innmelding'!$A$2:$A$701='Oversikt'!$C$4)*('Innmelding'!$B$2:$B$701='Oversikt'!$C$5)*('Innmelding'!$C$2:$C$701=$B33)*('Innmelding'!$D$2:$D$701='Oversikt'!H$8)*'Innmelding'!$H$2:$H$701)))</f>
        <v/>
      </c>
      <c r="H33">
        <f>IF(OR($B33="",'Oversikt'!I$8=""),0,SUMPRODUCT(MAX(('Innmelding'!$A$2:$A$701='Oversikt'!$C$4)*('Innmelding'!$B$2:$B$701='Oversikt'!$C$5)*('Innmelding'!$C$2:$C$701=$B33)*('Innmelding'!$D$2:$D$701='Oversikt'!I$8)*'Innmelding'!$H$2:$H$701)))</f>
        <v/>
      </c>
      <c r="I33">
        <f>IF(OR($B33="",'Oversikt'!J$8=""),0,SUMPRODUCT(MAX(('Innmelding'!$A$2:$A$701='Oversikt'!$C$4)*('Innmelding'!$B$2:$B$701='Oversikt'!$C$5)*('Innmelding'!$C$2:$C$701=$B33)*('Innmelding'!$D$2:$D$701='Oversikt'!J$8)*'Innmelding'!$H$2:$H$701)))</f>
        <v/>
      </c>
      <c r="J33">
        <f>IF(OR($B33="",'Oversikt'!K$8=""),0,SUMPRODUCT(MAX(('Innmelding'!$A$2:$A$701='Oversikt'!$C$4)*('Innmelding'!$B$2:$B$701='Oversikt'!$C$5)*('Innmelding'!$C$2:$C$701=$B33)*('Innmelding'!$D$2:$D$701='Oversikt'!K$8)*'Innmelding'!$H$2:$H$701)))</f>
        <v/>
      </c>
      <c r="K33">
        <f>IF(OR($B33="",'Oversikt'!L$8=""),0,SUMPRODUCT(MAX(('Innmelding'!$A$2:$A$701='Oversikt'!$C$4)*('Innmelding'!$B$2:$B$701='Oversikt'!$C$5)*('Innmelding'!$C$2:$C$701=$B33)*('Innmelding'!$D$2:$D$701='Oversikt'!L$8)*'Innmelding'!$H$2:$H$701)))</f>
        <v/>
      </c>
      <c r="L33">
        <f>IF(OR($B33="",'Oversikt'!M$8=""),0,SUMPRODUCT(MAX(('Innmelding'!$A$2:$A$701='Oversikt'!$C$4)*('Innmelding'!$B$2:$B$701='Oversikt'!$C$5)*('Innmelding'!$C$2:$C$701=$B33)*('Innmelding'!$D$2:$D$701='Oversikt'!M$8)*'Innmelding'!$H$2:$H$701)))</f>
        <v/>
      </c>
      <c r="M33">
        <f>IF(OR($B33="",'Oversikt'!N$8=""),0,SUMPRODUCT(MAX(('Innmelding'!$A$2:$A$701='Oversikt'!$C$4)*('Innmelding'!$B$2:$B$701='Oversikt'!$C$5)*('Innmelding'!$C$2:$C$701=$B33)*('Innmelding'!$D$2:$D$701='Oversikt'!N$8)*'Innmelding'!$H$2:$H$701)))</f>
        <v/>
      </c>
      <c r="N33">
        <f>IF(OR($B33="",'Oversikt'!O$8=""),0,SUMPRODUCT(MAX(('Innmelding'!$A$2:$A$701='Oversikt'!$C$4)*('Innmelding'!$B$2:$B$701='Oversikt'!$C$5)*('Innmelding'!$C$2:$C$701=$B33)*('Innmelding'!$D$2:$D$701='Oversikt'!O$8)*'Innmelding'!$H$2:$H$701)))</f>
        <v/>
      </c>
      <c r="O33">
        <f>IF(OR($B33="",'Oversikt'!P$8=""),0,SUMPRODUCT(MAX(('Innmelding'!$A$2:$A$701='Oversikt'!$C$4)*('Innmelding'!$B$2:$B$701='Oversikt'!$C$5)*('Innmelding'!$C$2:$C$701=$B33)*('Innmelding'!$D$2:$D$701='Oversikt'!P$8)*'Innmelding'!$H$2:$H$701)))</f>
        <v/>
      </c>
      <c r="P33">
        <f>IF(OR($B33="",'Oversikt'!Q$8=""),0,SUMPRODUCT(MAX(('Innmelding'!$A$2:$A$701='Oversikt'!$C$4)*('Innmelding'!$B$2:$B$701='Oversikt'!$C$5)*('Innmelding'!$C$2:$C$701=$B33)*('Innmelding'!$D$2:$D$701='Oversikt'!Q$8)*'Innmelding'!$H$2:$H$701)))</f>
        <v/>
      </c>
      <c r="Q33">
        <f>IF(OR($B33="",'Oversikt'!F$8="",'Oversikt'!$C$6=""),0,SUMPRODUCT(MAX(('Innmelding'!$A$2:$A$701='Oversikt'!$C$6)*('Innmelding'!$B$2:$B$701='Oversikt'!$C$5)*('Innmelding'!$C$2:$C$701=$B33)*('Innmelding'!$D$2:$D$701='Oversikt'!F$8)*'Innmelding'!$H$2:$H$701)))</f>
        <v/>
      </c>
      <c r="R33">
        <f>IF(OR($B33="",'Oversikt'!G$8="",'Oversikt'!$C$6=""),0,SUMPRODUCT(MAX(('Innmelding'!$A$2:$A$701='Oversikt'!$C$6)*('Innmelding'!$B$2:$B$701='Oversikt'!$C$5)*('Innmelding'!$C$2:$C$701=$B33)*('Innmelding'!$D$2:$D$701='Oversikt'!G$8)*'Innmelding'!$H$2:$H$701)))</f>
        <v/>
      </c>
      <c r="S33">
        <f>IF(OR($B33="",'Oversikt'!H$8="",'Oversikt'!$C$6=""),0,SUMPRODUCT(MAX(('Innmelding'!$A$2:$A$701='Oversikt'!$C$6)*('Innmelding'!$B$2:$B$701='Oversikt'!$C$5)*('Innmelding'!$C$2:$C$701=$B33)*('Innmelding'!$D$2:$D$701='Oversikt'!H$8)*'Innmelding'!$H$2:$H$701)))</f>
        <v/>
      </c>
      <c r="T33">
        <f>IF(OR($B33="",'Oversikt'!I$8="",'Oversikt'!$C$6=""),0,SUMPRODUCT(MAX(('Innmelding'!$A$2:$A$701='Oversikt'!$C$6)*('Innmelding'!$B$2:$B$701='Oversikt'!$C$5)*('Innmelding'!$C$2:$C$701=$B33)*('Innmelding'!$D$2:$D$701='Oversikt'!I$8)*'Innmelding'!$H$2:$H$701)))</f>
        <v/>
      </c>
      <c r="U33">
        <f>IF(OR($B33="",'Oversikt'!J$8="",'Oversikt'!$C$6=""),0,SUMPRODUCT(MAX(('Innmelding'!$A$2:$A$701='Oversikt'!$C$6)*('Innmelding'!$B$2:$B$701='Oversikt'!$C$5)*('Innmelding'!$C$2:$C$701=$B33)*('Innmelding'!$D$2:$D$701='Oversikt'!J$8)*'Innmelding'!$H$2:$H$701)))</f>
        <v/>
      </c>
      <c r="V33">
        <f>IF(OR($B33="",'Oversikt'!K$8="",'Oversikt'!$C$6=""),0,SUMPRODUCT(MAX(('Innmelding'!$A$2:$A$701='Oversikt'!$C$6)*('Innmelding'!$B$2:$B$701='Oversikt'!$C$5)*('Innmelding'!$C$2:$C$701=$B33)*('Innmelding'!$D$2:$D$701='Oversikt'!K$8)*'Innmelding'!$H$2:$H$701)))</f>
        <v/>
      </c>
      <c r="W33">
        <f>IF(OR($B33="",'Oversikt'!L$8="",'Oversikt'!$C$6=""),0,SUMPRODUCT(MAX(('Innmelding'!$A$2:$A$701='Oversikt'!$C$6)*('Innmelding'!$B$2:$B$701='Oversikt'!$C$5)*('Innmelding'!$C$2:$C$701=$B33)*('Innmelding'!$D$2:$D$701='Oversikt'!L$8)*'Innmelding'!$H$2:$H$701)))</f>
        <v/>
      </c>
      <c r="X33">
        <f>IF(OR($B33="",'Oversikt'!M$8="",'Oversikt'!$C$6=""),0,SUMPRODUCT(MAX(('Innmelding'!$A$2:$A$701='Oversikt'!$C$6)*('Innmelding'!$B$2:$B$701='Oversikt'!$C$5)*('Innmelding'!$C$2:$C$701=$B33)*('Innmelding'!$D$2:$D$701='Oversikt'!M$8)*'Innmelding'!$H$2:$H$701)))</f>
        <v/>
      </c>
      <c r="Y33">
        <f>IF(OR($B33="",'Oversikt'!N$8="",'Oversikt'!$C$6=""),0,SUMPRODUCT(MAX(('Innmelding'!$A$2:$A$701='Oversikt'!$C$6)*('Innmelding'!$B$2:$B$701='Oversikt'!$C$5)*('Innmelding'!$C$2:$C$701=$B33)*('Innmelding'!$D$2:$D$701='Oversikt'!N$8)*'Innmelding'!$H$2:$H$701)))</f>
        <v/>
      </c>
      <c r="Z33">
        <f>IF(OR($B33="",'Oversikt'!O$8="",'Oversikt'!$C$6=""),0,SUMPRODUCT(MAX(('Innmelding'!$A$2:$A$701='Oversikt'!$C$6)*('Innmelding'!$B$2:$B$701='Oversikt'!$C$5)*('Innmelding'!$C$2:$C$701=$B33)*('Innmelding'!$D$2:$D$701='Oversikt'!O$8)*'Innmelding'!$H$2:$H$701)))</f>
        <v/>
      </c>
      <c r="AA33">
        <f>IF(OR($B33="",'Oversikt'!P$8="",'Oversikt'!$C$6=""),0,SUMPRODUCT(MAX(('Innmelding'!$A$2:$A$701='Oversikt'!$C$6)*('Innmelding'!$B$2:$B$701='Oversikt'!$C$5)*('Innmelding'!$C$2:$C$701=$B33)*('Innmelding'!$D$2:$D$701='Oversikt'!P$8)*'Innmelding'!$H$2:$H$701)))</f>
        <v/>
      </c>
      <c r="AB33">
        <f>IF(OR($B33="",'Oversikt'!Q$8="",'Oversikt'!$C$6=""),0,SUMPRODUCT(MAX(('Innmelding'!$A$2:$A$701='Oversikt'!$C$6)*('Innmelding'!$B$2:$B$701='Oversikt'!$C$5)*('Innmelding'!$C$2:$C$701=$B33)*('Innmelding'!$D$2:$D$701='Oversikt'!Q$8)*'Innmelding'!$H$2:$H$701)))</f>
        <v/>
      </c>
      <c r="AC33">
        <f>IF(OR($B33="",'Oversikt'!F$8=""),0,SUMPRODUCT(('Innmelding'!$A$2:$A$701='Oversikt'!$C$4)*('Innmelding'!$B$2:$B$701='Oversikt'!$C$5)*('Innmelding'!$C$2:$C$701=$B33)*('Innmelding'!$D$2:$D$701='Oversikt'!F$8)*('Innmelding'!$H$2:$H$701&gt;0)))</f>
        <v/>
      </c>
      <c r="AD33">
        <f>IF(OR($B33="",'Oversikt'!G$8=""),0,SUMPRODUCT(('Innmelding'!$A$2:$A$701='Oversikt'!$C$4)*('Innmelding'!$B$2:$B$701='Oversikt'!$C$5)*('Innmelding'!$C$2:$C$701=$B33)*('Innmelding'!$D$2:$D$701='Oversikt'!G$8)*('Innmelding'!$H$2:$H$701&gt;0)))</f>
        <v/>
      </c>
      <c r="AE33">
        <f>IF(OR($B33="",'Oversikt'!H$8=""),0,SUMPRODUCT(('Innmelding'!$A$2:$A$701='Oversikt'!$C$4)*('Innmelding'!$B$2:$B$701='Oversikt'!$C$5)*('Innmelding'!$C$2:$C$701=$B33)*('Innmelding'!$D$2:$D$701='Oversikt'!H$8)*('Innmelding'!$H$2:$H$701&gt;0)))</f>
        <v/>
      </c>
      <c r="AF33">
        <f>IF(OR($B33="",'Oversikt'!I$8=""),0,SUMPRODUCT(('Innmelding'!$A$2:$A$701='Oversikt'!$C$4)*('Innmelding'!$B$2:$B$701='Oversikt'!$C$5)*('Innmelding'!$C$2:$C$701=$B33)*('Innmelding'!$D$2:$D$701='Oversikt'!I$8)*('Innmelding'!$H$2:$H$701&gt;0)))</f>
        <v/>
      </c>
      <c r="AG33">
        <f>IF(OR($B33="",'Oversikt'!J$8=""),0,SUMPRODUCT(('Innmelding'!$A$2:$A$701='Oversikt'!$C$4)*('Innmelding'!$B$2:$B$701='Oversikt'!$C$5)*('Innmelding'!$C$2:$C$701=$B33)*('Innmelding'!$D$2:$D$701='Oversikt'!J$8)*('Innmelding'!$H$2:$H$701&gt;0)))</f>
        <v/>
      </c>
      <c r="AH33">
        <f>IF(OR($B33="",'Oversikt'!K$8=""),0,SUMPRODUCT(('Innmelding'!$A$2:$A$701='Oversikt'!$C$4)*('Innmelding'!$B$2:$B$701='Oversikt'!$C$5)*('Innmelding'!$C$2:$C$701=$B33)*('Innmelding'!$D$2:$D$701='Oversikt'!K$8)*('Innmelding'!$H$2:$H$701&gt;0)))</f>
        <v/>
      </c>
      <c r="AI33">
        <f>IF(OR($B33="",'Oversikt'!L$8=""),0,SUMPRODUCT(('Innmelding'!$A$2:$A$701='Oversikt'!$C$4)*('Innmelding'!$B$2:$B$701='Oversikt'!$C$5)*('Innmelding'!$C$2:$C$701=$B33)*('Innmelding'!$D$2:$D$701='Oversikt'!L$8)*('Innmelding'!$H$2:$H$701&gt;0)))</f>
        <v/>
      </c>
      <c r="AJ33">
        <f>IF(OR($B33="",'Oversikt'!M$8=""),0,SUMPRODUCT(('Innmelding'!$A$2:$A$701='Oversikt'!$C$4)*('Innmelding'!$B$2:$B$701='Oversikt'!$C$5)*('Innmelding'!$C$2:$C$701=$B33)*('Innmelding'!$D$2:$D$701='Oversikt'!M$8)*('Innmelding'!$H$2:$H$701&gt;0)))</f>
        <v/>
      </c>
      <c r="AK33">
        <f>IF(OR($B33="",'Oversikt'!N$8=""),0,SUMPRODUCT(('Innmelding'!$A$2:$A$701='Oversikt'!$C$4)*('Innmelding'!$B$2:$B$701='Oversikt'!$C$5)*('Innmelding'!$C$2:$C$701=$B33)*('Innmelding'!$D$2:$D$701='Oversikt'!N$8)*('Innmelding'!$H$2:$H$701&gt;0)))</f>
        <v/>
      </c>
      <c r="AL33">
        <f>IF(OR($B33="",'Oversikt'!O$8=""),0,SUMPRODUCT(('Innmelding'!$A$2:$A$701='Oversikt'!$C$4)*('Innmelding'!$B$2:$B$701='Oversikt'!$C$5)*('Innmelding'!$C$2:$C$701=$B33)*('Innmelding'!$D$2:$D$701='Oversikt'!O$8)*('Innmelding'!$H$2:$H$701&gt;0)))</f>
        <v/>
      </c>
      <c r="AM33">
        <f>IF(OR($B33="",'Oversikt'!P$8=""),0,SUMPRODUCT(('Innmelding'!$A$2:$A$701='Oversikt'!$C$4)*('Innmelding'!$B$2:$B$701='Oversikt'!$C$5)*('Innmelding'!$C$2:$C$701=$B33)*('Innmelding'!$D$2:$D$701='Oversikt'!P$8)*('Innmelding'!$H$2:$H$701&gt;0)))</f>
        <v/>
      </c>
      <c r="AN33">
        <f>IF(OR($B33="",'Oversikt'!Q$8=""),0,SUMPRODUCT(('Innmelding'!$A$2:$A$701='Oversikt'!$C$4)*('Innmelding'!$B$2:$B$701='Oversikt'!$C$5)*('Innmelding'!$C$2:$C$701=$B33)*('Innmelding'!$D$2:$D$701='Oversikt'!Q$8)*('Innmelding'!$H$2:$H$701&gt;0)))</f>
        <v/>
      </c>
    </row>
    <row r="34">
      <c r="A34" t="n">
        <v>33</v>
      </c>
      <c r="B34">
        <f>IFERROR(INDEX('Elevar'!$A$2:$AZ$41,$A34,MATCH('Oversikt'!$C$5,'Elevar'!$A$1:$AZ$1,0))&amp;"","")</f>
        <v/>
      </c>
      <c r="C34">
        <f>IF($B34="",-1-$A34/1000,COUNTIF($E34:$P34,3)*10000+COUNTIF($E34:$P34,2)*100+COUNTIF($E34:$P34,1)+(100-$A34)/1000)</f>
        <v/>
      </c>
      <c r="D34">
        <f>MATCH(LARGE($C$2:$C$41,$A34),$C$2:$C$41,0)</f>
        <v/>
      </c>
      <c r="E34">
        <f>IF(OR($B34="",'Oversikt'!F$8=""),0,SUMPRODUCT(MAX(('Innmelding'!$A$2:$A$701='Oversikt'!$C$4)*('Innmelding'!$B$2:$B$701='Oversikt'!$C$5)*('Innmelding'!$C$2:$C$701=$B34)*('Innmelding'!$D$2:$D$701='Oversikt'!F$8)*'Innmelding'!$H$2:$H$701)))</f>
        <v/>
      </c>
      <c r="F34">
        <f>IF(OR($B34="",'Oversikt'!G$8=""),0,SUMPRODUCT(MAX(('Innmelding'!$A$2:$A$701='Oversikt'!$C$4)*('Innmelding'!$B$2:$B$701='Oversikt'!$C$5)*('Innmelding'!$C$2:$C$701=$B34)*('Innmelding'!$D$2:$D$701='Oversikt'!G$8)*'Innmelding'!$H$2:$H$701)))</f>
        <v/>
      </c>
      <c r="G34">
        <f>IF(OR($B34="",'Oversikt'!H$8=""),0,SUMPRODUCT(MAX(('Innmelding'!$A$2:$A$701='Oversikt'!$C$4)*('Innmelding'!$B$2:$B$701='Oversikt'!$C$5)*('Innmelding'!$C$2:$C$701=$B34)*('Innmelding'!$D$2:$D$701='Oversikt'!H$8)*'Innmelding'!$H$2:$H$701)))</f>
        <v/>
      </c>
      <c r="H34">
        <f>IF(OR($B34="",'Oversikt'!I$8=""),0,SUMPRODUCT(MAX(('Innmelding'!$A$2:$A$701='Oversikt'!$C$4)*('Innmelding'!$B$2:$B$701='Oversikt'!$C$5)*('Innmelding'!$C$2:$C$701=$B34)*('Innmelding'!$D$2:$D$701='Oversikt'!I$8)*'Innmelding'!$H$2:$H$701)))</f>
        <v/>
      </c>
      <c r="I34">
        <f>IF(OR($B34="",'Oversikt'!J$8=""),0,SUMPRODUCT(MAX(('Innmelding'!$A$2:$A$701='Oversikt'!$C$4)*('Innmelding'!$B$2:$B$701='Oversikt'!$C$5)*('Innmelding'!$C$2:$C$701=$B34)*('Innmelding'!$D$2:$D$701='Oversikt'!J$8)*'Innmelding'!$H$2:$H$701)))</f>
        <v/>
      </c>
      <c r="J34">
        <f>IF(OR($B34="",'Oversikt'!K$8=""),0,SUMPRODUCT(MAX(('Innmelding'!$A$2:$A$701='Oversikt'!$C$4)*('Innmelding'!$B$2:$B$701='Oversikt'!$C$5)*('Innmelding'!$C$2:$C$701=$B34)*('Innmelding'!$D$2:$D$701='Oversikt'!K$8)*'Innmelding'!$H$2:$H$701)))</f>
        <v/>
      </c>
      <c r="K34">
        <f>IF(OR($B34="",'Oversikt'!L$8=""),0,SUMPRODUCT(MAX(('Innmelding'!$A$2:$A$701='Oversikt'!$C$4)*('Innmelding'!$B$2:$B$701='Oversikt'!$C$5)*('Innmelding'!$C$2:$C$701=$B34)*('Innmelding'!$D$2:$D$701='Oversikt'!L$8)*'Innmelding'!$H$2:$H$701)))</f>
        <v/>
      </c>
      <c r="L34">
        <f>IF(OR($B34="",'Oversikt'!M$8=""),0,SUMPRODUCT(MAX(('Innmelding'!$A$2:$A$701='Oversikt'!$C$4)*('Innmelding'!$B$2:$B$701='Oversikt'!$C$5)*('Innmelding'!$C$2:$C$701=$B34)*('Innmelding'!$D$2:$D$701='Oversikt'!M$8)*'Innmelding'!$H$2:$H$701)))</f>
        <v/>
      </c>
      <c r="M34">
        <f>IF(OR($B34="",'Oversikt'!N$8=""),0,SUMPRODUCT(MAX(('Innmelding'!$A$2:$A$701='Oversikt'!$C$4)*('Innmelding'!$B$2:$B$701='Oversikt'!$C$5)*('Innmelding'!$C$2:$C$701=$B34)*('Innmelding'!$D$2:$D$701='Oversikt'!N$8)*'Innmelding'!$H$2:$H$701)))</f>
        <v/>
      </c>
      <c r="N34">
        <f>IF(OR($B34="",'Oversikt'!O$8=""),0,SUMPRODUCT(MAX(('Innmelding'!$A$2:$A$701='Oversikt'!$C$4)*('Innmelding'!$B$2:$B$701='Oversikt'!$C$5)*('Innmelding'!$C$2:$C$701=$B34)*('Innmelding'!$D$2:$D$701='Oversikt'!O$8)*'Innmelding'!$H$2:$H$701)))</f>
        <v/>
      </c>
      <c r="O34">
        <f>IF(OR($B34="",'Oversikt'!P$8=""),0,SUMPRODUCT(MAX(('Innmelding'!$A$2:$A$701='Oversikt'!$C$4)*('Innmelding'!$B$2:$B$701='Oversikt'!$C$5)*('Innmelding'!$C$2:$C$701=$B34)*('Innmelding'!$D$2:$D$701='Oversikt'!P$8)*'Innmelding'!$H$2:$H$701)))</f>
        <v/>
      </c>
      <c r="P34">
        <f>IF(OR($B34="",'Oversikt'!Q$8=""),0,SUMPRODUCT(MAX(('Innmelding'!$A$2:$A$701='Oversikt'!$C$4)*('Innmelding'!$B$2:$B$701='Oversikt'!$C$5)*('Innmelding'!$C$2:$C$701=$B34)*('Innmelding'!$D$2:$D$701='Oversikt'!Q$8)*'Innmelding'!$H$2:$H$701)))</f>
        <v/>
      </c>
      <c r="Q34">
        <f>IF(OR($B34="",'Oversikt'!F$8="",'Oversikt'!$C$6=""),0,SUMPRODUCT(MAX(('Innmelding'!$A$2:$A$701='Oversikt'!$C$6)*('Innmelding'!$B$2:$B$701='Oversikt'!$C$5)*('Innmelding'!$C$2:$C$701=$B34)*('Innmelding'!$D$2:$D$701='Oversikt'!F$8)*'Innmelding'!$H$2:$H$701)))</f>
        <v/>
      </c>
      <c r="R34">
        <f>IF(OR($B34="",'Oversikt'!G$8="",'Oversikt'!$C$6=""),0,SUMPRODUCT(MAX(('Innmelding'!$A$2:$A$701='Oversikt'!$C$6)*('Innmelding'!$B$2:$B$701='Oversikt'!$C$5)*('Innmelding'!$C$2:$C$701=$B34)*('Innmelding'!$D$2:$D$701='Oversikt'!G$8)*'Innmelding'!$H$2:$H$701)))</f>
        <v/>
      </c>
      <c r="S34">
        <f>IF(OR($B34="",'Oversikt'!H$8="",'Oversikt'!$C$6=""),0,SUMPRODUCT(MAX(('Innmelding'!$A$2:$A$701='Oversikt'!$C$6)*('Innmelding'!$B$2:$B$701='Oversikt'!$C$5)*('Innmelding'!$C$2:$C$701=$B34)*('Innmelding'!$D$2:$D$701='Oversikt'!H$8)*'Innmelding'!$H$2:$H$701)))</f>
        <v/>
      </c>
      <c r="T34">
        <f>IF(OR($B34="",'Oversikt'!I$8="",'Oversikt'!$C$6=""),0,SUMPRODUCT(MAX(('Innmelding'!$A$2:$A$701='Oversikt'!$C$6)*('Innmelding'!$B$2:$B$701='Oversikt'!$C$5)*('Innmelding'!$C$2:$C$701=$B34)*('Innmelding'!$D$2:$D$701='Oversikt'!I$8)*'Innmelding'!$H$2:$H$701)))</f>
        <v/>
      </c>
      <c r="U34">
        <f>IF(OR($B34="",'Oversikt'!J$8="",'Oversikt'!$C$6=""),0,SUMPRODUCT(MAX(('Innmelding'!$A$2:$A$701='Oversikt'!$C$6)*('Innmelding'!$B$2:$B$701='Oversikt'!$C$5)*('Innmelding'!$C$2:$C$701=$B34)*('Innmelding'!$D$2:$D$701='Oversikt'!J$8)*'Innmelding'!$H$2:$H$701)))</f>
        <v/>
      </c>
      <c r="V34">
        <f>IF(OR($B34="",'Oversikt'!K$8="",'Oversikt'!$C$6=""),0,SUMPRODUCT(MAX(('Innmelding'!$A$2:$A$701='Oversikt'!$C$6)*('Innmelding'!$B$2:$B$701='Oversikt'!$C$5)*('Innmelding'!$C$2:$C$701=$B34)*('Innmelding'!$D$2:$D$701='Oversikt'!K$8)*'Innmelding'!$H$2:$H$701)))</f>
        <v/>
      </c>
      <c r="W34">
        <f>IF(OR($B34="",'Oversikt'!L$8="",'Oversikt'!$C$6=""),0,SUMPRODUCT(MAX(('Innmelding'!$A$2:$A$701='Oversikt'!$C$6)*('Innmelding'!$B$2:$B$701='Oversikt'!$C$5)*('Innmelding'!$C$2:$C$701=$B34)*('Innmelding'!$D$2:$D$701='Oversikt'!L$8)*'Innmelding'!$H$2:$H$701)))</f>
        <v/>
      </c>
      <c r="X34">
        <f>IF(OR($B34="",'Oversikt'!M$8="",'Oversikt'!$C$6=""),0,SUMPRODUCT(MAX(('Innmelding'!$A$2:$A$701='Oversikt'!$C$6)*('Innmelding'!$B$2:$B$701='Oversikt'!$C$5)*('Innmelding'!$C$2:$C$701=$B34)*('Innmelding'!$D$2:$D$701='Oversikt'!M$8)*'Innmelding'!$H$2:$H$701)))</f>
        <v/>
      </c>
      <c r="Y34">
        <f>IF(OR($B34="",'Oversikt'!N$8="",'Oversikt'!$C$6=""),0,SUMPRODUCT(MAX(('Innmelding'!$A$2:$A$701='Oversikt'!$C$6)*('Innmelding'!$B$2:$B$701='Oversikt'!$C$5)*('Innmelding'!$C$2:$C$701=$B34)*('Innmelding'!$D$2:$D$701='Oversikt'!N$8)*'Innmelding'!$H$2:$H$701)))</f>
        <v/>
      </c>
      <c r="Z34">
        <f>IF(OR($B34="",'Oversikt'!O$8="",'Oversikt'!$C$6=""),0,SUMPRODUCT(MAX(('Innmelding'!$A$2:$A$701='Oversikt'!$C$6)*('Innmelding'!$B$2:$B$701='Oversikt'!$C$5)*('Innmelding'!$C$2:$C$701=$B34)*('Innmelding'!$D$2:$D$701='Oversikt'!O$8)*'Innmelding'!$H$2:$H$701)))</f>
        <v/>
      </c>
      <c r="AA34">
        <f>IF(OR($B34="",'Oversikt'!P$8="",'Oversikt'!$C$6=""),0,SUMPRODUCT(MAX(('Innmelding'!$A$2:$A$701='Oversikt'!$C$6)*('Innmelding'!$B$2:$B$701='Oversikt'!$C$5)*('Innmelding'!$C$2:$C$701=$B34)*('Innmelding'!$D$2:$D$701='Oversikt'!P$8)*'Innmelding'!$H$2:$H$701)))</f>
        <v/>
      </c>
      <c r="AB34">
        <f>IF(OR($B34="",'Oversikt'!Q$8="",'Oversikt'!$C$6=""),0,SUMPRODUCT(MAX(('Innmelding'!$A$2:$A$701='Oversikt'!$C$6)*('Innmelding'!$B$2:$B$701='Oversikt'!$C$5)*('Innmelding'!$C$2:$C$701=$B34)*('Innmelding'!$D$2:$D$701='Oversikt'!Q$8)*'Innmelding'!$H$2:$H$701)))</f>
        <v/>
      </c>
      <c r="AC34">
        <f>IF(OR($B34="",'Oversikt'!F$8=""),0,SUMPRODUCT(('Innmelding'!$A$2:$A$701='Oversikt'!$C$4)*('Innmelding'!$B$2:$B$701='Oversikt'!$C$5)*('Innmelding'!$C$2:$C$701=$B34)*('Innmelding'!$D$2:$D$701='Oversikt'!F$8)*('Innmelding'!$H$2:$H$701&gt;0)))</f>
        <v/>
      </c>
      <c r="AD34">
        <f>IF(OR($B34="",'Oversikt'!G$8=""),0,SUMPRODUCT(('Innmelding'!$A$2:$A$701='Oversikt'!$C$4)*('Innmelding'!$B$2:$B$701='Oversikt'!$C$5)*('Innmelding'!$C$2:$C$701=$B34)*('Innmelding'!$D$2:$D$701='Oversikt'!G$8)*('Innmelding'!$H$2:$H$701&gt;0)))</f>
        <v/>
      </c>
      <c r="AE34">
        <f>IF(OR($B34="",'Oversikt'!H$8=""),0,SUMPRODUCT(('Innmelding'!$A$2:$A$701='Oversikt'!$C$4)*('Innmelding'!$B$2:$B$701='Oversikt'!$C$5)*('Innmelding'!$C$2:$C$701=$B34)*('Innmelding'!$D$2:$D$701='Oversikt'!H$8)*('Innmelding'!$H$2:$H$701&gt;0)))</f>
        <v/>
      </c>
      <c r="AF34">
        <f>IF(OR($B34="",'Oversikt'!I$8=""),0,SUMPRODUCT(('Innmelding'!$A$2:$A$701='Oversikt'!$C$4)*('Innmelding'!$B$2:$B$701='Oversikt'!$C$5)*('Innmelding'!$C$2:$C$701=$B34)*('Innmelding'!$D$2:$D$701='Oversikt'!I$8)*('Innmelding'!$H$2:$H$701&gt;0)))</f>
        <v/>
      </c>
      <c r="AG34">
        <f>IF(OR($B34="",'Oversikt'!J$8=""),0,SUMPRODUCT(('Innmelding'!$A$2:$A$701='Oversikt'!$C$4)*('Innmelding'!$B$2:$B$701='Oversikt'!$C$5)*('Innmelding'!$C$2:$C$701=$B34)*('Innmelding'!$D$2:$D$701='Oversikt'!J$8)*('Innmelding'!$H$2:$H$701&gt;0)))</f>
        <v/>
      </c>
      <c r="AH34">
        <f>IF(OR($B34="",'Oversikt'!K$8=""),0,SUMPRODUCT(('Innmelding'!$A$2:$A$701='Oversikt'!$C$4)*('Innmelding'!$B$2:$B$701='Oversikt'!$C$5)*('Innmelding'!$C$2:$C$701=$B34)*('Innmelding'!$D$2:$D$701='Oversikt'!K$8)*('Innmelding'!$H$2:$H$701&gt;0)))</f>
        <v/>
      </c>
      <c r="AI34">
        <f>IF(OR($B34="",'Oversikt'!L$8=""),0,SUMPRODUCT(('Innmelding'!$A$2:$A$701='Oversikt'!$C$4)*('Innmelding'!$B$2:$B$701='Oversikt'!$C$5)*('Innmelding'!$C$2:$C$701=$B34)*('Innmelding'!$D$2:$D$701='Oversikt'!L$8)*('Innmelding'!$H$2:$H$701&gt;0)))</f>
        <v/>
      </c>
      <c r="AJ34">
        <f>IF(OR($B34="",'Oversikt'!M$8=""),0,SUMPRODUCT(('Innmelding'!$A$2:$A$701='Oversikt'!$C$4)*('Innmelding'!$B$2:$B$701='Oversikt'!$C$5)*('Innmelding'!$C$2:$C$701=$B34)*('Innmelding'!$D$2:$D$701='Oversikt'!M$8)*('Innmelding'!$H$2:$H$701&gt;0)))</f>
        <v/>
      </c>
      <c r="AK34">
        <f>IF(OR($B34="",'Oversikt'!N$8=""),0,SUMPRODUCT(('Innmelding'!$A$2:$A$701='Oversikt'!$C$4)*('Innmelding'!$B$2:$B$701='Oversikt'!$C$5)*('Innmelding'!$C$2:$C$701=$B34)*('Innmelding'!$D$2:$D$701='Oversikt'!N$8)*('Innmelding'!$H$2:$H$701&gt;0)))</f>
        <v/>
      </c>
      <c r="AL34">
        <f>IF(OR($B34="",'Oversikt'!O$8=""),0,SUMPRODUCT(('Innmelding'!$A$2:$A$701='Oversikt'!$C$4)*('Innmelding'!$B$2:$B$701='Oversikt'!$C$5)*('Innmelding'!$C$2:$C$701=$B34)*('Innmelding'!$D$2:$D$701='Oversikt'!O$8)*('Innmelding'!$H$2:$H$701&gt;0)))</f>
        <v/>
      </c>
      <c r="AM34">
        <f>IF(OR($B34="",'Oversikt'!P$8=""),0,SUMPRODUCT(('Innmelding'!$A$2:$A$701='Oversikt'!$C$4)*('Innmelding'!$B$2:$B$701='Oversikt'!$C$5)*('Innmelding'!$C$2:$C$701=$B34)*('Innmelding'!$D$2:$D$701='Oversikt'!P$8)*('Innmelding'!$H$2:$H$701&gt;0)))</f>
        <v/>
      </c>
      <c r="AN34">
        <f>IF(OR($B34="",'Oversikt'!Q$8=""),0,SUMPRODUCT(('Innmelding'!$A$2:$A$701='Oversikt'!$C$4)*('Innmelding'!$B$2:$B$701='Oversikt'!$C$5)*('Innmelding'!$C$2:$C$701=$B34)*('Innmelding'!$D$2:$D$701='Oversikt'!Q$8)*('Innmelding'!$H$2:$H$701&gt;0)))</f>
        <v/>
      </c>
    </row>
    <row r="35">
      <c r="A35" t="n">
        <v>34</v>
      </c>
      <c r="B35">
        <f>IFERROR(INDEX('Elevar'!$A$2:$AZ$41,$A35,MATCH('Oversikt'!$C$5,'Elevar'!$A$1:$AZ$1,0))&amp;"","")</f>
        <v/>
      </c>
      <c r="C35">
        <f>IF($B35="",-1-$A35/1000,COUNTIF($E35:$P35,3)*10000+COUNTIF($E35:$P35,2)*100+COUNTIF($E35:$P35,1)+(100-$A35)/1000)</f>
        <v/>
      </c>
      <c r="D35">
        <f>MATCH(LARGE($C$2:$C$41,$A35),$C$2:$C$41,0)</f>
        <v/>
      </c>
      <c r="E35">
        <f>IF(OR($B35="",'Oversikt'!F$8=""),0,SUMPRODUCT(MAX(('Innmelding'!$A$2:$A$701='Oversikt'!$C$4)*('Innmelding'!$B$2:$B$701='Oversikt'!$C$5)*('Innmelding'!$C$2:$C$701=$B35)*('Innmelding'!$D$2:$D$701='Oversikt'!F$8)*'Innmelding'!$H$2:$H$701)))</f>
        <v/>
      </c>
      <c r="F35">
        <f>IF(OR($B35="",'Oversikt'!G$8=""),0,SUMPRODUCT(MAX(('Innmelding'!$A$2:$A$701='Oversikt'!$C$4)*('Innmelding'!$B$2:$B$701='Oversikt'!$C$5)*('Innmelding'!$C$2:$C$701=$B35)*('Innmelding'!$D$2:$D$701='Oversikt'!G$8)*'Innmelding'!$H$2:$H$701)))</f>
        <v/>
      </c>
      <c r="G35">
        <f>IF(OR($B35="",'Oversikt'!H$8=""),0,SUMPRODUCT(MAX(('Innmelding'!$A$2:$A$701='Oversikt'!$C$4)*('Innmelding'!$B$2:$B$701='Oversikt'!$C$5)*('Innmelding'!$C$2:$C$701=$B35)*('Innmelding'!$D$2:$D$701='Oversikt'!H$8)*'Innmelding'!$H$2:$H$701)))</f>
        <v/>
      </c>
      <c r="H35">
        <f>IF(OR($B35="",'Oversikt'!I$8=""),0,SUMPRODUCT(MAX(('Innmelding'!$A$2:$A$701='Oversikt'!$C$4)*('Innmelding'!$B$2:$B$701='Oversikt'!$C$5)*('Innmelding'!$C$2:$C$701=$B35)*('Innmelding'!$D$2:$D$701='Oversikt'!I$8)*'Innmelding'!$H$2:$H$701)))</f>
        <v/>
      </c>
      <c r="I35">
        <f>IF(OR($B35="",'Oversikt'!J$8=""),0,SUMPRODUCT(MAX(('Innmelding'!$A$2:$A$701='Oversikt'!$C$4)*('Innmelding'!$B$2:$B$701='Oversikt'!$C$5)*('Innmelding'!$C$2:$C$701=$B35)*('Innmelding'!$D$2:$D$701='Oversikt'!J$8)*'Innmelding'!$H$2:$H$701)))</f>
        <v/>
      </c>
      <c r="J35">
        <f>IF(OR($B35="",'Oversikt'!K$8=""),0,SUMPRODUCT(MAX(('Innmelding'!$A$2:$A$701='Oversikt'!$C$4)*('Innmelding'!$B$2:$B$701='Oversikt'!$C$5)*('Innmelding'!$C$2:$C$701=$B35)*('Innmelding'!$D$2:$D$701='Oversikt'!K$8)*'Innmelding'!$H$2:$H$701)))</f>
        <v/>
      </c>
      <c r="K35">
        <f>IF(OR($B35="",'Oversikt'!L$8=""),0,SUMPRODUCT(MAX(('Innmelding'!$A$2:$A$701='Oversikt'!$C$4)*('Innmelding'!$B$2:$B$701='Oversikt'!$C$5)*('Innmelding'!$C$2:$C$701=$B35)*('Innmelding'!$D$2:$D$701='Oversikt'!L$8)*'Innmelding'!$H$2:$H$701)))</f>
        <v/>
      </c>
      <c r="L35">
        <f>IF(OR($B35="",'Oversikt'!M$8=""),0,SUMPRODUCT(MAX(('Innmelding'!$A$2:$A$701='Oversikt'!$C$4)*('Innmelding'!$B$2:$B$701='Oversikt'!$C$5)*('Innmelding'!$C$2:$C$701=$B35)*('Innmelding'!$D$2:$D$701='Oversikt'!M$8)*'Innmelding'!$H$2:$H$701)))</f>
        <v/>
      </c>
      <c r="M35">
        <f>IF(OR($B35="",'Oversikt'!N$8=""),0,SUMPRODUCT(MAX(('Innmelding'!$A$2:$A$701='Oversikt'!$C$4)*('Innmelding'!$B$2:$B$701='Oversikt'!$C$5)*('Innmelding'!$C$2:$C$701=$B35)*('Innmelding'!$D$2:$D$701='Oversikt'!N$8)*'Innmelding'!$H$2:$H$701)))</f>
        <v/>
      </c>
      <c r="N35">
        <f>IF(OR($B35="",'Oversikt'!O$8=""),0,SUMPRODUCT(MAX(('Innmelding'!$A$2:$A$701='Oversikt'!$C$4)*('Innmelding'!$B$2:$B$701='Oversikt'!$C$5)*('Innmelding'!$C$2:$C$701=$B35)*('Innmelding'!$D$2:$D$701='Oversikt'!O$8)*'Innmelding'!$H$2:$H$701)))</f>
        <v/>
      </c>
      <c r="O35">
        <f>IF(OR($B35="",'Oversikt'!P$8=""),0,SUMPRODUCT(MAX(('Innmelding'!$A$2:$A$701='Oversikt'!$C$4)*('Innmelding'!$B$2:$B$701='Oversikt'!$C$5)*('Innmelding'!$C$2:$C$701=$B35)*('Innmelding'!$D$2:$D$701='Oversikt'!P$8)*'Innmelding'!$H$2:$H$701)))</f>
        <v/>
      </c>
      <c r="P35">
        <f>IF(OR($B35="",'Oversikt'!Q$8=""),0,SUMPRODUCT(MAX(('Innmelding'!$A$2:$A$701='Oversikt'!$C$4)*('Innmelding'!$B$2:$B$701='Oversikt'!$C$5)*('Innmelding'!$C$2:$C$701=$B35)*('Innmelding'!$D$2:$D$701='Oversikt'!Q$8)*'Innmelding'!$H$2:$H$701)))</f>
        <v/>
      </c>
      <c r="Q35">
        <f>IF(OR($B35="",'Oversikt'!F$8="",'Oversikt'!$C$6=""),0,SUMPRODUCT(MAX(('Innmelding'!$A$2:$A$701='Oversikt'!$C$6)*('Innmelding'!$B$2:$B$701='Oversikt'!$C$5)*('Innmelding'!$C$2:$C$701=$B35)*('Innmelding'!$D$2:$D$701='Oversikt'!F$8)*'Innmelding'!$H$2:$H$701)))</f>
        <v/>
      </c>
      <c r="R35">
        <f>IF(OR($B35="",'Oversikt'!G$8="",'Oversikt'!$C$6=""),0,SUMPRODUCT(MAX(('Innmelding'!$A$2:$A$701='Oversikt'!$C$6)*('Innmelding'!$B$2:$B$701='Oversikt'!$C$5)*('Innmelding'!$C$2:$C$701=$B35)*('Innmelding'!$D$2:$D$701='Oversikt'!G$8)*'Innmelding'!$H$2:$H$701)))</f>
        <v/>
      </c>
      <c r="S35">
        <f>IF(OR($B35="",'Oversikt'!H$8="",'Oversikt'!$C$6=""),0,SUMPRODUCT(MAX(('Innmelding'!$A$2:$A$701='Oversikt'!$C$6)*('Innmelding'!$B$2:$B$701='Oversikt'!$C$5)*('Innmelding'!$C$2:$C$701=$B35)*('Innmelding'!$D$2:$D$701='Oversikt'!H$8)*'Innmelding'!$H$2:$H$701)))</f>
        <v/>
      </c>
      <c r="T35">
        <f>IF(OR($B35="",'Oversikt'!I$8="",'Oversikt'!$C$6=""),0,SUMPRODUCT(MAX(('Innmelding'!$A$2:$A$701='Oversikt'!$C$6)*('Innmelding'!$B$2:$B$701='Oversikt'!$C$5)*('Innmelding'!$C$2:$C$701=$B35)*('Innmelding'!$D$2:$D$701='Oversikt'!I$8)*'Innmelding'!$H$2:$H$701)))</f>
        <v/>
      </c>
      <c r="U35">
        <f>IF(OR($B35="",'Oversikt'!J$8="",'Oversikt'!$C$6=""),0,SUMPRODUCT(MAX(('Innmelding'!$A$2:$A$701='Oversikt'!$C$6)*('Innmelding'!$B$2:$B$701='Oversikt'!$C$5)*('Innmelding'!$C$2:$C$701=$B35)*('Innmelding'!$D$2:$D$701='Oversikt'!J$8)*'Innmelding'!$H$2:$H$701)))</f>
        <v/>
      </c>
      <c r="V35">
        <f>IF(OR($B35="",'Oversikt'!K$8="",'Oversikt'!$C$6=""),0,SUMPRODUCT(MAX(('Innmelding'!$A$2:$A$701='Oversikt'!$C$6)*('Innmelding'!$B$2:$B$701='Oversikt'!$C$5)*('Innmelding'!$C$2:$C$701=$B35)*('Innmelding'!$D$2:$D$701='Oversikt'!K$8)*'Innmelding'!$H$2:$H$701)))</f>
        <v/>
      </c>
      <c r="W35">
        <f>IF(OR($B35="",'Oversikt'!L$8="",'Oversikt'!$C$6=""),0,SUMPRODUCT(MAX(('Innmelding'!$A$2:$A$701='Oversikt'!$C$6)*('Innmelding'!$B$2:$B$701='Oversikt'!$C$5)*('Innmelding'!$C$2:$C$701=$B35)*('Innmelding'!$D$2:$D$701='Oversikt'!L$8)*'Innmelding'!$H$2:$H$701)))</f>
        <v/>
      </c>
      <c r="X35">
        <f>IF(OR($B35="",'Oversikt'!M$8="",'Oversikt'!$C$6=""),0,SUMPRODUCT(MAX(('Innmelding'!$A$2:$A$701='Oversikt'!$C$6)*('Innmelding'!$B$2:$B$701='Oversikt'!$C$5)*('Innmelding'!$C$2:$C$701=$B35)*('Innmelding'!$D$2:$D$701='Oversikt'!M$8)*'Innmelding'!$H$2:$H$701)))</f>
        <v/>
      </c>
      <c r="Y35">
        <f>IF(OR($B35="",'Oversikt'!N$8="",'Oversikt'!$C$6=""),0,SUMPRODUCT(MAX(('Innmelding'!$A$2:$A$701='Oversikt'!$C$6)*('Innmelding'!$B$2:$B$701='Oversikt'!$C$5)*('Innmelding'!$C$2:$C$701=$B35)*('Innmelding'!$D$2:$D$701='Oversikt'!N$8)*'Innmelding'!$H$2:$H$701)))</f>
        <v/>
      </c>
      <c r="Z35">
        <f>IF(OR($B35="",'Oversikt'!O$8="",'Oversikt'!$C$6=""),0,SUMPRODUCT(MAX(('Innmelding'!$A$2:$A$701='Oversikt'!$C$6)*('Innmelding'!$B$2:$B$701='Oversikt'!$C$5)*('Innmelding'!$C$2:$C$701=$B35)*('Innmelding'!$D$2:$D$701='Oversikt'!O$8)*'Innmelding'!$H$2:$H$701)))</f>
        <v/>
      </c>
      <c r="AA35">
        <f>IF(OR($B35="",'Oversikt'!P$8="",'Oversikt'!$C$6=""),0,SUMPRODUCT(MAX(('Innmelding'!$A$2:$A$701='Oversikt'!$C$6)*('Innmelding'!$B$2:$B$701='Oversikt'!$C$5)*('Innmelding'!$C$2:$C$701=$B35)*('Innmelding'!$D$2:$D$701='Oversikt'!P$8)*'Innmelding'!$H$2:$H$701)))</f>
        <v/>
      </c>
      <c r="AB35">
        <f>IF(OR($B35="",'Oversikt'!Q$8="",'Oversikt'!$C$6=""),0,SUMPRODUCT(MAX(('Innmelding'!$A$2:$A$701='Oversikt'!$C$6)*('Innmelding'!$B$2:$B$701='Oversikt'!$C$5)*('Innmelding'!$C$2:$C$701=$B35)*('Innmelding'!$D$2:$D$701='Oversikt'!Q$8)*'Innmelding'!$H$2:$H$701)))</f>
        <v/>
      </c>
      <c r="AC35">
        <f>IF(OR($B35="",'Oversikt'!F$8=""),0,SUMPRODUCT(('Innmelding'!$A$2:$A$701='Oversikt'!$C$4)*('Innmelding'!$B$2:$B$701='Oversikt'!$C$5)*('Innmelding'!$C$2:$C$701=$B35)*('Innmelding'!$D$2:$D$701='Oversikt'!F$8)*('Innmelding'!$H$2:$H$701&gt;0)))</f>
        <v/>
      </c>
      <c r="AD35">
        <f>IF(OR($B35="",'Oversikt'!G$8=""),0,SUMPRODUCT(('Innmelding'!$A$2:$A$701='Oversikt'!$C$4)*('Innmelding'!$B$2:$B$701='Oversikt'!$C$5)*('Innmelding'!$C$2:$C$701=$B35)*('Innmelding'!$D$2:$D$701='Oversikt'!G$8)*('Innmelding'!$H$2:$H$701&gt;0)))</f>
        <v/>
      </c>
      <c r="AE35">
        <f>IF(OR($B35="",'Oversikt'!H$8=""),0,SUMPRODUCT(('Innmelding'!$A$2:$A$701='Oversikt'!$C$4)*('Innmelding'!$B$2:$B$701='Oversikt'!$C$5)*('Innmelding'!$C$2:$C$701=$B35)*('Innmelding'!$D$2:$D$701='Oversikt'!H$8)*('Innmelding'!$H$2:$H$701&gt;0)))</f>
        <v/>
      </c>
      <c r="AF35">
        <f>IF(OR($B35="",'Oversikt'!I$8=""),0,SUMPRODUCT(('Innmelding'!$A$2:$A$701='Oversikt'!$C$4)*('Innmelding'!$B$2:$B$701='Oversikt'!$C$5)*('Innmelding'!$C$2:$C$701=$B35)*('Innmelding'!$D$2:$D$701='Oversikt'!I$8)*('Innmelding'!$H$2:$H$701&gt;0)))</f>
        <v/>
      </c>
      <c r="AG35">
        <f>IF(OR($B35="",'Oversikt'!J$8=""),0,SUMPRODUCT(('Innmelding'!$A$2:$A$701='Oversikt'!$C$4)*('Innmelding'!$B$2:$B$701='Oversikt'!$C$5)*('Innmelding'!$C$2:$C$701=$B35)*('Innmelding'!$D$2:$D$701='Oversikt'!J$8)*('Innmelding'!$H$2:$H$701&gt;0)))</f>
        <v/>
      </c>
      <c r="AH35">
        <f>IF(OR($B35="",'Oversikt'!K$8=""),0,SUMPRODUCT(('Innmelding'!$A$2:$A$701='Oversikt'!$C$4)*('Innmelding'!$B$2:$B$701='Oversikt'!$C$5)*('Innmelding'!$C$2:$C$701=$B35)*('Innmelding'!$D$2:$D$701='Oversikt'!K$8)*('Innmelding'!$H$2:$H$701&gt;0)))</f>
        <v/>
      </c>
      <c r="AI35">
        <f>IF(OR($B35="",'Oversikt'!L$8=""),0,SUMPRODUCT(('Innmelding'!$A$2:$A$701='Oversikt'!$C$4)*('Innmelding'!$B$2:$B$701='Oversikt'!$C$5)*('Innmelding'!$C$2:$C$701=$B35)*('Innmelding'!$D$2:$D$701='Oversikt'!L$8)*('Innmelding'!$H$2:$H$701&gt;0)))</f>
        <v/>
      </c>
      <c r="AJ35">
        <f>IF(OR($B35="",'Oversikt'!M$8=""),0,SUMPRODUCT(('Innmelding'!$A$2:$A$701='Oversikt'!$C$4)*('Innmelding'!$B$2:$B$701='Oversikt'!$C$5)*('Innmelding'!$C$2:$C$701=$B35)*('Innmelding'!$D$2:$D$701='Oversikt'!M$8)*('Innmelding'!$H$2:$H$701&gt;0)))</f>
        <v/>
      </c>
      <c r="AK35">
        <f>IF(OR($B35="",'Oversikt'!N$8=""),0,SUMPRODUCT(('Innmelding'!$A$2:$A$701='Oversikt'!$C$4)*('Innmelding'!$B$2:$B$701='Oversikt'!$C$5)*('Innmelding'!$C$2:$C$701=$B35)*('Innmelding'!$D$2:$D$701='Oversikt'!N$8)*('Innmelding'!$H$2:$H$701&gt;0)))</f>
        <v/>
      </c>
      <c r="AL35">
        <f>IF(OR($B35="",'Oversikt'!O$8=""),0,SUMPRODUCT(('Innmelding'!$A$2:$A$701='Oversikt'!$C$4)*('Innmelding'!$B$2:$B$701='Oversikt'!$C$5)*('Innmelding'!$C$2:$C$701=$B35)*('Innmelding'!$D$2:$D$701='Oversikt'!O$8)*('Innmelding'!$H$2:$H$701&gt;0)))</f>
        <v/>
      </c>
      <c r="AM35">
        <f>IF(OR($B35="",'Oversikt'!P$8=""),0,SUMPRODUCT(('Innmelding'!$A$2:$A$701='Oversikt'!$C$4)*('Innmelding'!$B$2:$B$701='Oversikt'!$C$5)*('Innmelding'!$C$2:$C$701=$B35)*('Innmelding'!$D$2:$D$701='Oversikt'!P$8)*('Innmelding'!$H$2:$H$701&gt;0)))</f>
        <v/>
      </c>
      <c r="AN35">
        <f>IF(OR($B35="",'Oversikt'!Q$8=""),0,SUMPRODUCT(('Innmelding'!$A$2:$A$701='Oversikt'!$C$4)*('Innmelding'!$B$2:$B$701='Oversikt'!$C$5)*('Innmelding'!$C$2:$C$701=$B35)*('Innmelding'!$D$2:$D$701='Oversikt'!Q$8)*('Innmelding'!$H$2:$H$701&gt;0)))</f>
        <v/>
      </c>
    </row>
    <row r="36">
      <c r="A36" t="n">
        <v>35</v>
      </c>
      <c r="B36">
        <f>IFERROR(INDEX('Elevar'!$A$2:$AZ$41,$A36,MATCH('Oversikt'!$C$5,'Elevar'!$A$1:$AZ$1,0))&amp;"","")</f>
        <v/>
      </c>
      <c r="C36">
        <f>IF($B36="",-1-$A36/1000,COUNTIF($E36:$P36,3)*10000+COUNTIF($E36:$P36,2)*100+COUNTIF($E36:$P36,1)+(100-$A36)/1000)</f>
        <v/>
      </c>
      <c r="D36">
        <f>MATCH(LARGE($C$2:$C$41,$A36),$C$2:$C$41,0)</f>
        <v/>
      </c>
      <c r="E36">
        <f>IF(OR($B36="",'Oversikt'!F$8=""),0,SUMPRODUCT(MAX(('Innmelding'!$A$2:$A$701='Oversikt'!$C$4)*('Innmelding'!$B$2:$B$701='Oversikt'!$C$5)*('Innmelding'!$C$2:$C$701=$B36)*('Innmelding'!$D$2:$D$701='Oversikt'!F$8)*'Innmelding'!$H$2:$H$701)))</f>
        <v/>
      </c>
      <c r="F36">
        <f>IF(OR($B36="",'Oversikt'!G$8=""),0,SUMPRODUCT(MAX(('Innmelding'!$A$2:$A$701='Oversikt'!$C$4)*('Innmelding'!$B$2:$B$701='Oversikt'!$C$5)*('Innmelding'!$C$2:$C$701=$B36)*('Innmelding'!$D$2:$D$701='Oversikt'!G$8)*'Innmelding'!$H$2:$H$701)))</f>
        <v/>
      </c>
      <c r="G36">
        <f>IF(OR($B36="",'Oversikt'!H$8=""),0,SUMPRODUCT(MAX(('Innmelding'!$A$2:$A$701='Oversikt'!$C$4)*('Innmelding'!$B$2:$B$701='Oversikt'!$C$5)*('Innmelding'!$C$2:$C$701=$B36)*('Innmelding'!$D$2:$D$701='Oversikt'!H$8)*'Innmelding'!$H$2:$H$701)))</f>
        <v/>
      </c>
      <c r="H36">
        <f>IF(OR($B36="",'Oversikt'!I$8=""),0,SUMPRODUCT(MAX(('Innmelding'!$A$2:$A$701='Oversikt'!$C$4)*('Innmelding'!$B$2:$B$701='Oversikt'!$C$5)*('Innmelding'!$C$2:$C$701=$B36)*('Innmelding'!$D$2:$D$701='Oversikt'!I$8)*'Innmelding'!$H$2:$H$701)))</f>
        <v/>
      </c>
      <c r="I36">
        <f>IF(OR($B36="",'Oversikt'!J$8=""),0,SUMPRODUCT(MAX(('Innmelding'!$A$2:$A$701='Oversikt'!$C$4)*('Innmelding'!$B$2:$B$701='Oversikt'!$C$5)*('Innmelding'!$C$2:$C$701=$B36)*('Innmelding'!$D$2:$D$701='Oversikt'!J$8)*'Innmelding'!$H$2:$H$701)))</f>
        <v/>
      </c>
      <c r="J36">
        <f>IF(OR($B36="",'Oversikt'!K$8=""),0,SUMPRODUCT(MAX(('Innmelding'!$A$2:$A$701='Oversikt'!$C$4)*('Innmelding'!$B$2:$B$701='Oversikt'!$C$5)*('Innmelding'!$C$2:$C$701=$B36)*('Innmelding'!$D$2:$D$701='Oversikt'!K$8)*'Innmelding'!$H$2:$H$701)))</f>
        <v/>
      </c>
      <c r="K36">
        <f>IF(OR($B36="",'Oversikt'!L$8=""),0,SUMPRODUCT(MAX(('Innmelding'!$A$2:$A$701='Oversikt'!$C$4)*('Innmelding'!$B$2:$B$701='Oversikt'!$C$5)*('Innmelding'!$C$2:$C$701=$B36)*('Innmelding'!$D$2:$D$701='Oversikt'!L$8)*'Innmelding'!$H$2:$H$701)))</f>
        <v/>
      </c>
      <c r="L36">
        <f>IF(OR($B36="",'Oversikt'!M$8=""),0,SUMPRODUCT(MAX(('Innmelding'!$A$2:$A$701='Oversikt'!$C$4)*('Innmelding'!$B$2:$B$701='Oversikt'!$C$5)*('Innmelding'!$C$2:$C$701=$B36)*('Innmelding'!$D$2:$D$701='Oversikt'!M$8)*'Innmelding'!$H$2:$H$701)))</f>
        <v/>
      </c>
      <c r="M36">
        <f>IF(OR($B36="",'Oversikt'!N$8=""),0,SUMPRODUCT(MAX(('Innmelding'!$A$2:$A$701='Oversikt'!$C$4)*('Innmelding'!$B$2:$B$701='Oversikt'!$C$5)*('Innmelding'!$C$2:$C$701=$B36)*('Innmelding'!$D$2:$D$701='Oversikt'!N$8)*'Innmelding'!$H$2:$H$701)))</f>
        <v/>
      </c>
      <c r="N36">
        <f>IF(OR($B36="",'Oversikt'!O$8=""),0,SUMPRODUCT(MAX(('Innmelding'!$A$2:$A$701='Oversikt'!$C$4)*('Innmelding'!$B$2:$B$701='Oversikt'!$C$5)*('Innmelding'!$C$2:$C$701=$B36)*('Innmelding'!$D$2:$D$701='Oversikt'!O$8)*'Innmelding'!$H$2:$H$701)))</f>
        <v/>
      </c>
      <c r="O36">
        <f>IF(OR($B36="",'Oversikt'!P$8=""),0,SUMPRODUCT(MAX(('Innmelding'!$A$2:$A$701='Oversikt'!$C$4)*('Innmelding'!$B$2:$B$701='Oversikt'!$C$5)*('Innmelding'!$C$2:$C$701=$B36)*('Innmelding'!$D$2:$D$701='Oversikt'!P$8)*'Innmelding'!$H$2:$H$701)))</f>
        <v/>
      </c>
      <c r="P36">
        <f>IF(OR($B36="",'Oversikt'!Q$8=""),0,SUMPRODUCT(MAX(('Innmelding'!$A$2:$A$701='Oversikt'!$C$4)*('Innmelding'!$B$2:$B$701='Oversikt'!$C$5)*('Innmelding'!$C$2:$C$701=$B36)*('Innmelding'!$D$2:$D$701='Oversikt'!Q$8)*'Innmelding'!$H$2:$H$701)))</f>
        <v/>
      </c>
      <c r="Q36">
        <f>IF(OR($B36="",'Oversikt'!F$8="",'Oversikt'!$C$6=""),0,SUMPRODUCT(MAX(('Innmelding'!$A$2:$A$701='Oversikt'!$C$6)*('Innmelding'!$B$2:$B$701='Oversikt'!$C$5)*('Innmelding'!$C$2:$C$701=$B36)*('Innmelding'!$D$2:$D$701='Oversikt'!F$8)*'Innmelding'!$H$2:$H$701)))</f>
        <v/>
      </c>
      <c r="R36">
        <f>IF(OR($B36="",'Oversikt'!G$8="",'Oversikt'!$C$6=""),0,SUMPRODUCT(MAX(('Innmelding'!$A$2:$A$701='Oversikt'!$C$6)*('Innmelding'!$B$2:$B$701='Oversikt'!$C$5)*('Innmelding'!$C$2:$C$701=$B36)*('Innmelding'!$D$2:$D$701='Oversikt'!G$8)*'Innmelding'!$H$2:$H$701)))</f>
        <v/>
      </c>
      <c r="S36">
        <f>IF(OR($B36="",'Oversikt'!H$8="",'Oversikt'!$C$6=""),0,SUMPRODUCT(MAX(('Innmelding'!$A$2:$A$701='Oversikt'!$C$6)*('Innmelding'!$B$2:$B$701='Oversikt'!$C$5)*('Innmelding'!$C$2:$C$701=$B36)*('Innmelding'!$D$2:$D$701='Oversikt'!H$8)*'Innmelding'!$H$2:$H$701)))</f>
        <v/>
      </c>
      <c r="T36">
        <f>IF(OR($B36="",'Oversikt'!I$8="",'Oversikt'!$C$6=""),0,SUMPRODUCT(MAX(('Innmelding'!$A$2:$A$701='Oversikt'!$C$6)*('Innmelding'!$B$2:$B$701='Oversikt'!$C$5)*('Innmelding'!$C$2:$C$701=$B36)*('Innmelding'!$D$2:$D$701='Oversikt'!I$8)*'Innmelding'!$H$2:$H$701)))</f>
        <v/>
      </c>
      <c r="U36">
        <f>IF(OR($B36="",'Oversikt'!J$8="",'Oversikt'!$C$6=""),0,SUMPRODUCT(MAX(('Innmelding'!$A$2:$A$701='Oversikt'!$C$6)*('Innmelding'!$B$2:$B$701='Oversikt'!$C$5)*('Innmelding'!$C$2:$C$701=$B36)*('Innmelding'!$D$2:$D$701='Oversikt'!J$8)*'Innmelding'!$H$2:$H$701)))</f>
        <v/>
      </c>
      <c r="V36">
        <f>IF(OR($B36="",'Oversikt'!K$8="",'Oversikt'!$C$6=""),0,SUMPRODUCT(MAX(('Innmelding'!$A$2:$A$701='Oversikt'!$C$6)*('Innmelding'!$B$2:$B$701='Oversikt'!$C$5)*('Innmelding'!$C$2:$C$701=$B36)*('Innmelding'!$D$2:$D$701='Oversikt'!K$8)*'Innmelding'!$H$2:$H$701)))</f>
        <v/>
      </c>
      <c r="W36">
        <f>IF(OR($B36="",'Oversikt'!L$8="",'Oversikt'!$C$6=""),0,SUMPRODUCT(MAX(('Innmelding'!$A$2:$A$701='Oversikt'!$C$6)*('Innmelding'!$B$2:$B$701='Oversikt'!$C$5)*('Innmelding'!$C$2:$C$701=$B36)*('Innmelding'!$D$2:$D$701='Oversikt'!L$8)*'Innmelding'!$H$2:$H$701)))</f>
        <v/>
      </c>
      <c r="X36">
        <f>IF(OR($B36="",'Oversikt'!M$8="",'Oversikt'!$C$6=""),0,SUMPRODUCT(MAX(('Innmelding'!$A$2:$A$701='Oversikt'!$C$6)*('Innmelding'!$B$2:$B$701='Oversikt'!$C$5)*('Innmelding'!$C$2:$C$701=$B36)*('Innmelding'!$D$2:$D$701='Oversikt'!M$8)*'Innmelding'!$H$2:$H$701)))</f>
        <v/>
      </c>
      <c r="Y36">
        <f>IF(OR($B36="",'Oversikt'!N$8="",'Oversikt'!$C$6=""),0,SUMPRODUCT(MAX(('Innmelding'!$A$2:$A$701='Oversikt'!$C$6)*('Innmelding'!$B$2:$B$701='Oversikt'!$C$5)*('Innmelding'!$C$2:$C$701=$B36)*('Innmelding'!$D$2:$D$701='Oversikt'!N$8)*'Innmelding'!$H$2:$H$701)))</f>
        <v/>
      </c>
      <c r="Z36">
        <f>IF(OR($B36="",'Oversikt'!O$8="",'Oversikt'!$C$6=""),0,SUMPRODUCT(MAX(('Innmelding'!$A$2:$A$701='Oversikt'!$C$6)*('Innmelding'!$B$2:$B$701='Oversikt'!$C$5)*('Innmelding'!$C$2:$C$701=$B36)*('Innmelding'!$D$2:$D$701='Oversikt'!O$8)*'Innmelding'!$H$2:$H$701)))</f>
        <v/>
      </c>
      <c r="AA36">
        <f>IF(OR($B36="",'Oversikt'!P$8="",'Oversikt'!$C$6=""),0,SUMPRODUCT(MAX(('Innmelding'!$A$2:$A$701='Oversikt'!$C$6)*('Innmelding'!$B$2:$B$701='Oversikt'!$C$5)*('Innmelding'!$C$2:$C$701=$B36)*('Innmelding'!$D$2:$D$701='Oversikt'!P$8)*'Innmelding'!$H$2:$H$701)))</f>
        <v/>
      </c>
      <c r="AB36">
        <f>IF(OR($B36="",'Oversikt'!Q$8="",'Oversikt'!$C$6=""),0,SUMPRODUCT(MAX(('Innmelding'!$A$2:$A$701='Oversikt'!$C$6)*('Innmelding'!$B$2:$B$701='Oversikt'!$C$5)*('Innmelding'!$C$2:$C$701=$B36)*('Innmelding'!$D$2:$D$701='Oversikt'!Q$8)*'Innmelding'!$H$2:$H$701)))</f>
        <v/>
      </c>
      <c r="AC36">
        <f>IF(OR($B36="",'Oversikt'!F$8=""),0,SUMPRODUCT(('Innmelding'!$A$2:$A$701='Oversikt'!$C$4)*('Innmelding'!$B$2:$B$701='Oversikt'!$C$5)*('Innmelding'!$C$2:$C$701=$B36)*('Innmelding'!$D$2:$D$701='Oversikt'!F$8)*('Innmelding'!$H$2:$H$701&gt;0)))</f>
        <v/>
      </c>
      <c r="AD36">
        <f>IF(OR($B36="",'Oversikt'!G$8=""),0,SUMPRODUCT(('Innmelding'!$A$2:$A$701='Oversikt'!$C$4)*('Innmelding'!$B$2:$B$701='Oversikt'!$C$5)*('Innmelding'!$C$2:$C$701=$B36)*('Innmelding'!$D$2:$D$701='Oversikt'!G$8)*('Innmelding'!$H$2:$H$701&gt;0)))</f>
        <v/>
      </c>
      <c r="AE36">
        <f>IF(OR($B36="",'Oversikt'!H$8=""),0,SUMPRODUCT(('Innmelding'!$A$2:$A$701='Oversikt'!$C$4)*('Innmelding'!$B$2:$B$701='Oversikt'!$C$5)*('Innmelding'!$C$2:$C$701=$B36)*('Innmelding'!$D$2:$D$701='Oversikt'!H$8)*('Innmelding'!$H$2:$H$701&gt;0)))</f>
        <v/>
      </c>
      <c r="AF36">
        <f>IF(OR($B36="",'Oversikt'!I$8=""),0,SUMPRODUCT(('Innmelding'!$A$2:$A$701='Oversikt'!$C$4)*('Innmelding'!$B$2:$B$701='Oversikt'!$C$5)*('Innmelding'!$C$2:$C$701=$B36)*('Innmelding'!$D$2:$D$701='Oversikt'!I$8)*('Innmelding'!$H$2:$H$701&gt;0)))</f>
        <v/>
      </c>
      <c r="AG36">
        <f>IF(OR($B36="",'Oversikt'!J$8=""),0,SUMPRODUCT(('Innmelding'!$A$2:$A$701='Oversikt'!$C$4)*('Innmelding'!$B$2:$B$701='Oversikt'!$C$5)*('Innmelding'!$C$2:$C$701=$B36)*('Innmelding'!$D$2:$D$701='Oversikt'!J$8)*('Innmelding'!$H$2:$H$701&gt;0)))</f>
        <v/>
      </c>
      <c r="AH36">
        <f>IF(OR($B36="",'Oversikt'!K$8=""),0,SUMPRODUCT(('Innmelding'!$A$2:$A$701='Oversikt'!$C$4)*('Innmelding'!$B$2:$B$701='Oversikt'!$C$5)*('Innmelding'!$C$2:$C$701=$B36)*('Innmelding'!$D$2:$D$701='Oversikt'!K$8)*('Innmelding'!$H$2:$H$701&gt;0)))</f>
        <v/>
      </c>
      <c r="AI36">
        <f>IF(OR($B36="",'Oversikt'!L$8=""),0,SUMPRODUCT(('Innmelding'!$A$2:$A$701='Oversikt'!$C$4)*('Innmelding'!$B$2:$B$701='Oversikt'!$C$5)*('Innmelding'!$C$2:$C$701=$B36)*('Innmelding'!$D$2:$D$701='Oversikt'!L$8)*('Innmelding'!$H$2:$H$701&gt;0)))</f>
        <v/>
      </c>
      <c r="AJ36">
        <f>IF(OR($B36="",'Oversikt'!M$8=""),0,SUMPRODUCT(('Innmelding'!$A$2:$A$701='Oversikt'!$C$4)*('Innmelding'!$B$2:$B$701='Oversikt'!$C$5)*('Innmelding'!$C$2:$C$701=$B36)*('Innmelding'!$D$2:$D$701='Oversikt'!M$8)*('Innmelding'!$H$2:$H$701&gt;0)))</f>
        <v/>
      </c>
      <c r="AK36">
        <f>IF(OR($B36="",'Oversikt'!N$8=""),0,SUMPRODUCT(('Innmelding'!$A$2:$A$701='Oversikt'!$C$4)*('Innmelding'!$B$2:$B$701='Oversikt'!$C$5)*('Innmelding'!$C$2:$C$701=$B36)*('Innmelding'!$D$2:$D$701='Oversikt'!N$8)*('Innmelding'!$H$2:$H$701&gt;0)))</f>
        <v/>
      </c>
      <c r="AL36">
        <f>IF(OR($B36="",'Oversikt'!O$8=""),0,SUMPRODUCT(('Innmelding'!$A$2:$A$701='Oversikt'!$C$4)*('Innmelding'!$B$2:$B$701='Oversikt'!$C$5)*('Innmelding'!$C$2:$C$701=$B36)*('Innmelding'!$D$2:$D$701='Oversikt'!O$8)*('Innmelding'!$H$2:$H$701&gt;0)))</f>
        <v/>
      </c>
      <c r="AM36">
        <f>IF(OR($B36="",'Oversikt'!P$8=""),0,SUMPRODUCT(('Innmelding'!$A$2:$A$701='Oversikt'!$C$4)*('Innmelding'!$B$2:$B$701='Oversikt'!$C$5)*('Innmelding'!$C$2:$C$701=$B36)*('Innmelding'!$D$2:$D$701='Oversikt'!P$8)*('Innmelding'!$H$2:$H$701&gt;0)))</f>
        <v/>
      </c>
      <c r="AN36">
        <f>IF(OR($B36="",'Oversikt'!Q$8=""),0,SUMPRODUCT(('Innmelding'!$A$2:$A$701='Oversikt'!$C$4)*('Innmelding'!$B$2:$B$701='Oversikt'!$C$5)*('Innmelding'!$C$2:$C$701=$B36)*('Innmelding'!$D$2:$D$701='Oversikt'!Q$8)*('Innmelding'!$H$2:$H$701&gt;0)))</f>
        <v/>
      </c>
    </row>
    <row r="37">
      <c r="A37" t="n">
        <v>36</v>
      </c>
      <c r="B37">
        <f>IFERROR(INDEX('Elevar'!$A$2:$AZ$41,$A37,MATCH('Oversikt'!$C$5,'Elevar'!$A$1:$AZ$1,0))&amp;"","")</f>
        <v/>
      </c>
      <c r="C37">
        <f>IF($B37="",-1-$A37/1000,COUNTIF($E37:$P37,3)*10000+COUNTIF($E37:$P37,2)*100+COUNTIF($E37:$P37,1)+(100-$A37)/1000)</f>
        <v/>
      </c>
      <c r="D37">
        <f>MATCH(LARGE($C$2:$C$41,$A37),$C$2:$C$41,0)</f>
        <v/>
      </c>
      <c r="E37">
        <f>IF(OR($B37="",'Oversikt'!F$8=""),0,SUMPRODUCT(MAX(('Innmelding'!$A$2:$A$701='Oversikt'!$C$4)*('Innmelding'!$B$2:$B$701='Oversikt'!$C$5)*('Innmelding'!$C$2:$C$701=$B37)*('Innmelding'!$D$2:$D$701='Oversikt'!F$8)*'Innmelding'!$H$2:$H$701)))</f>
        <v/>
      </c>
      <c r="F37">
        <f>IF(OR($B37="",'Oversikt'!G$8=""),0,SUMPRODUCT(MAX(('Innmelding'!$A$2:$A$701='Oversikt'!$C$4)*('Innmelding'!$B$2:$B$701='Oversikt'!$C$5)*('Innmelding'!$C$2:$C$701=$B37)*('Innmelding'!$D$2:$D$701='Oversikt'!G$8)*'Innmelding'!$H$2:$H$701)))</f>
        <v/>
      </c>
      <c r="G37">
        <f>IF(OR($B37="",'Oversikt'!H$8=""),0,SUMPRODUCT(MAX(('Innmelding'!$A$2:$A$701='Oversikt'!$C$4)*('Innmelding'!$B$2:$B$701='Oversikt'!$C$5)*('Innmelding'!$C$2:$C$701=$B37)*('Innmelding'!$D$2:$D$701='Oversikt'!H$8)*'Innmelding'!$H$2:$H$701)))</f>
        <v/>
      </c>
      <c r="H37">
        <f>IF(OR($B37="",'Oversikt'!I$8=""),0,SUMPRODUCT(MAX(('Innmelding'!$A$2:$A$701='Oversikt'!$C$4)*('Innmelding'!$B$2:$B$701='Oversikt'!$C$5)*('Innmelding'!$C$2:$C$701=$B37)*('Innmelding'!$D$2:$D$701='Oversikt'!I$8)*'Innmelding'!$H$2:$H$701)))</f>
        <v/>
      </c>
      <c r="I37">
        <f>IF(OR($B37="",'Oversikt'!J$8=""),0,SUMPRODUCT(MAX(('Innmelding'!$A$2:$A$701='Oversikt'!$C$4)*('Innmelding'!$B$2:$B$701='Oversikt'!$C$5)*('Innmelding'!$C$2:$C$701=$B37)*('Innmelding'!$D$2:$D$701='Oversikt'!J$8)*'Innmelding'!$H$2:$H$701)))</f>
        <v/>
      </c>
      <c r="J37">
        <f>IF(OR($B37="",'Oversikt'!K$8=""),0,SUMPRODUCT(MAX(('Innmelding'!$A$2:$A$701='Oversikt'!$C$4)*('Innmelding'!$B$2:$B$701='Oversikt'!$C$5)*('Innmelding'!$C$2:$C$701=$B37)*('Innmelding'!$D$2:$D$701='Oversikt'!K$8)*'Innmelding'!$H$2:$H$701)))</f>
        <v/>
      </c>
      <c r="K37">
        <f>IF(OR($B37="",'Oversikt'!L$8=""),0,SUMPRODUCT(MAX(('Innmelding'!$A$2:$A$701='Oversikt'!$C$4)*('Innmelding'!$B$2:$B$701='Oversikt'!$C$5)*('Innmelding'!$C$2:$C$701=$B37)*('Innmelding'!$D$2:$D$701='Oversikt'!L$8)*'Innmelding'!$H$2:$H$701)))</f>
        <v/>
      </c>
      <c r="L37">
        <f>IF(OR($B37="",'Oversikt'!M$8=""),0,SUMPRODUCT(MAX(('Innmelding'!$A$2:$A$701='Oversikt'!$C$4)*('Innmelding'!$B$2:$B$701='Oversikt'!$C$5)*('Innmelding'!$C$2:$C$701=$B37)*('Innmelding'!$D$2:$D$701='Oversikt'!M$8)*'Innmelding'!$H$2:$H$701)))</f>
        <v/>
      </c>
      <c r="M37">
        <f>IF(OR($B37="",'Oversikt'!N$8=""),0,SUMPRODUCT(MAX(('Innmelding'!$A$2:$A$701='Oversikt'!$C$4)*('Innmelding'!$B$2:$B$701='Oversikt'!$C$5)*('Innmelding'!$C$2:$C$701=$B37)*('Innmelding'!$D$2:$D$701='Oversikt'!N$8)*'Innmelding'!$H$2:$H$701)))</f>
        <v/>
      </c>
      <c r="N37">
        <f>IF(OR($B37="",'Oversikt'!O$8=""),0,SUMPRODUCT(MAX(('Innmelding'!$A$2:$A$701='Oversikt'!$C$4)*('Innmelding'!$B$2:$B$701='Oversikt'!$C$5)*('Innmelding'!$C$2:$C$701=$B37)*('Innmelding'!$D$2:$D$701='Oversikt'!O$8)*'Innmelding'!$H$2:$H$701)))</f>
        <v/>
      </c>
      <c r="O37">
        <f>IF(OR($B37="",'Oversikt'!P$8=""),0,SUMPRODUCT(MAX(('Innmelding'!$A$2:$A$701='Oversikt'!$C$4)*('Innmelding'!$B$2:$B$701='Oversikt'!$C$5)*('Innmelding'!$C$2:$C$701=$B37)*('Innmelding'!$D$2:$D$701='Oversikt'!P$8)*'Innmelding'!$H$2:$H$701)))</f>
        <v/>
      </c>
      <c r="P37">
        <f>IF(OR($B37="",'Oversikt'!Q$8=""),0,SUMPRODUCT(MAX(('Innmelding'!$A$2:$A$701='Oversikt'!$C$4)*('Innmelding'!$B$2:$B$701='Oversikt'!$C$5)*('Innmelding'!$C$2:$C$701=$B37)*('Innmelding'!$D$2:$D$701='Oversikt'!Q$8)*'Innmelding'!$H$2:$H$701)))</f>
        <v/>
      </c>
      <c r="Q37">
        <f>IF(OR($B37="",'Oversikt'!F$8="",'Oversikt'!$C$6=""),0,SUMPRODUCT(MAX(('Innmelding'!$A$2:$A$701='Oversikt'!$C$6)*('Innmelding'!$B$2:$B$701='Oversikt'!$C$5)*('Innmelding'!$C$2:$C$701=$B37)*('Innmelding'!$D$2:$D$701='Oversikt'!F$8)*'Innmelding'!$H$2:$H$701)))</f>
        <v/>
      </c>
      <c r="R37">
        <f>IF(OR($B37="",'Oversikt'!G$8="",'Oversikt'!$C$6=""),0,SUMPRODUCT(MAX(('Innmelding'!$A$2:$A$701='Oversikt'!$C$6)*('Innmelding'!$B$2:$B$701='Oversikt'!$C$5)*('Innmelding'!$C$2:$C$701=$B37)*('Innmelding'!$D$2:$D$701='Oversikt'!G$8)*'Innmelding'!$H$2:$H$701)))</f>
        <v/>
      </c>
      <c r="S37">
        <f>IF(OR($B37="",'Oversikt'!H$8="",'Oversikt'!$C$6=""),0,SUMPRODUCT(MAX(('Innmelding'!$A$2:$A$701='Oversikt'!$C$6)*('Innmelding'!$B$2:$B$701='Oversikt'!$C$5)*('Innmelding'!$C$2:$C$701=$B37)*('Innmelding'!$D$2:$D$701='Oversikt'!H$8)*'Innmelding'!$H$2:$H$701)))</f>
        <v/>
      </c>
      <c r="T37">
        <f>IF(OR($B37="",'Oversikt'!I$8="",'Oversikt'!$C$6=""),0,SUMPRODUCT(MAX(('Innmelding'!$A$2:$A$701='Oversikt'!$C$6)*('Innmelding'!$B$2:$B$701='Oversikt'!$C$5)*('Innmelding'!$C$2:$C$701=$B37)*('Innmelding'!$D$2:$D$701='Oversikt'!I$8)*'Innmelding'!$H$2:$H$701)))</f>
        <v/>
      </c>
      <c r="U37">
        <f>IF(OR($B37="",'Oversikt'!J$8="",'Oversikt'!$C$6=""),0,SUMPRODUCT(MAX(('Innmelding'!$A$2:$A$701='Oversikt'!$C$6)*('Innmelding'!$B$2:$B$701='Oversikt'!$C$5)*('Innmelding'!$C$2:$C$701=$B37)*('Innmelding'!$D$2:$D$701='Oversikt'!J$8)*'Innmelding'!$H$2:$H$701)))</f>
        <v/>
      </c>
      <c r="V37">
        <f>IF(OR($B37="",'Oversikt'!K$8="",'Oversikt'!$C$6=""),0,SUMPRODUCT(MAX(('Innmelding'!$A$2:$A$701='Oversikt'!$C$6)*('Innmelding'!$B$2:$B$701='Oversikt'!$C$5)*('Innmelding'!$C$2:$C$701=$B37)*('Innmelding'!$D$2:$D$701='Oversikt'!K$8)*'Innmelding'!$H$2:$H$701)))</f>
        <v/>
      </c>
      <c r="W37">
        <f>IF(OR($B37="",'Oversikt'!L$8="",'Oversikt'!$C$6=""),0,SUMPRODUCT(MAX(('Innmelding'!$A$2:$A$701='Oversikt'!$C$6)*('Innmelding'!$B$2:$B$701='Oversikt'!$C$5)*('Innmelding'!$C$2:$C$701=$B37)*('Innmelding'!$D$2:$D$701='Oversikt'!L$8)*'Innmelding'!$H$2:$H$701)))</f>
        <v/>
      </c>
      <c r="X37">
        <f>IF(OR($B37="",'Oversikt'!M$8="",'Oversikt'!$C$6=""),0,SUMPRODUCT(MAX(('Innmelding'!$A$2:$A$701='Oversikt'!$C$6)*('Innmelding'!$B$2:$B$701='Oversikt'!$C$5)*('Innmelding'!$C$2:$C$701=$B37)*('Innmelding'!$D$2:$D$701='Oversikt'!M$8)*'Innmelding'!$H$2:$H$701)))</f>
        <v/>
      </c>
      <c r="Y37">
        <f>IF(OR($B37="",'Oversikt'!N$8="",'Oversikt'!$C$6=""),0,SUMPRODUCT(MAX(('Innmelding'!$A$2:$A$701='Oversikt'!$C$6)*('Innmelding'!$B$2:$B$701='Oversikt'!$C$5)*('Innmelding'!$C$2:$C$701=$B37)*('Innmelding'!$D$2:$D$701='Oversikt'!N$8)*'Innmelding'!$H$2:$H$701)))</f>
        <v/>
      </c>
      <c r="Z37">
        <f>IF(OR($B37="",'Oversikt'!O$8="",'Oversikt'!$C$6=""),0,SUMPRODUCT(MAX(('Innmelding'!$A$2:$A$701='Oversikt'!$C$6)*('Innmelding'!$B$2:$B$701='Oversikt'!$C$5)*('Innmelding'!$C$2:$C$701=$B37)*('Innmelding'!$D$2:$D$701='Oversikt'!O$8)*'Innmelding'!$H$2:$H$701)))</f>
        <v/>
      </c>
      <c r="AA37">
        <f>IF(OR($B37="",'Oversikt'!P$8="",'Oversikt'!$C$6=""),0,SUMPRODUCT(MAX(('Innmelding'!$A$2:$A$701='Oversikt'!$C$6)*('Innmelding'!$B$2:$B$701='Oversikt'!$C$5)*('Innmelding'!$C$2:$C$701=$B37)*('Innmelding'!$D$2:$D$701='Oversikt'!P$8)*'Innmelding'!$H$2:$H$701)))</f>
        <v/>
      </c>
      <c r="AB37">
        <f>IF(OR($B37="",'Oversikt'!Q$8="",'Oversikt'!$C$6=""),0,SUMPRODUCT(MAX(('Innmelding'!$A$2:$A$701='Oversikt'!$C$6)*('Innmelding'!$B$2:$B$701='Oversikt'!$C$5)*('Innmelding'!$C$2:$C$701=$B37)*('Innmelding'!$D$2:$D$701='Oversikt'!Q$8)*'Innmelding'!$H$2:$H$701)))</f>
        <v/>
      </c>
      <c r="AC37">
        <f>IF(OR($B37="",'Oversikt'!F$8=""),0,SUMPRODUCT(('Innmelding'!$A$2:$A$701='Oversikt'!$C$4)*('Innmelding'!$B$2:$B$701='Oversikt'!$C$5)*('Innmelding'!$C$2:$C$701=$B37)*('Innmelding'!$D$2:$D$701='Oversikt'!F$8)*('Innmelding'!$H$2:$H$701&gt;0)))</f>
        <v/>
      </c>
      <c r="AD37">
        <f>IF(OR($B37="",'Oversikt'!G$8=""),0,SUMPRODUCT(('Innmelding'!$A$2:$A$701='Oversikt'!$C$4)*('Innmelding'!$B$2:$B$701='Oversikt'!$C$5)*('Innmelding'!$C$2:$C$701=$B37)*('Innmelding'!$D$2:$D$701='Oversikt'!G$8)*('Innmelding'!$H$2:$H$701&gt;0)))</f>
        <v/>
      </c>
      <c r="AE37">
        <f>IF(OR($B37="",'Oversikt'!H$8=""),0,SUMPRODUCT(('Innmelding'!$A$2:$A$701='Oversikt'!$C$4)*('Innmelding'!$B$2:$B$701='Oversikt'!$C$5)*('Innmelding'!$C$2:$C$701=$B37)*('Innmelding'!$D$2:$D$701='Oversikt'!H$8)*('Innmelding'!$H$2:$H$701&gt;0)))</f>
        <v/>
      </c>
      <c r="AF37">
        <f>IF(OR($B37="",'Oversikt'!I$8=""),0,SUMPRODUCT(('Innmelding'!$A$2:$A$701='Oversikt'!$C$4)*('Innmelding'!$B$2:$B$701='Oversikt'!$C$5)*('Innmelding'!$C$2:$C$701=$B37)*('Innmelding'!$D$2:$D$701='Oversikt'!I$8)*('Innmelding'!$H$2:$H$701&gt;0)))</f>
        <v/>
      </c>
      <c r="AG37">
        <f>IF(OR($B37="",'Oversikt'!J$8=""),0,SUMPRODUCT(('Innmelding'!$A$2:$A$701='Oversikt'!$C$4)*('Innmelding'!$B$2:$B$701='Oversikt'!$C$5)*('Innmelding'!$C$2:$C$701=$B37)*('Innmelding'!$D$2:$D$701='Oversikt'!J$8)*('Innmelding'!$H$2:$H$701&gt;0)))</f>
        <v/>
      </c>
      <c r="AH37">
        <f>IF(OR($B37="",'Oversikt'!K$8=""),0,SUMPRODUCT(('Innmelding'!$A$2:$A$701='Oversikt'!$C$4)*('Innmelding'!$B$2:$B$701='Oversikt'!$C$5)*('Innmelding'!$C$2:$C$701=$B37)*('Innmelding'!$D$2:$D$701='Oversikt'!K$8)*('Innmelding'!$H$2:$H$701&gt;0)))</f>
        <v/>
      </c>
      <c r="AI37">
        <f>IF(OR($B37="",'Oversikt'!L$8=""),0,SUMPRODUCT(('Innmelding'!$A$2:$A$701='Oversikt'!$C$4)*('Innmelding'!$B$2:$B$701='Oversikt'!$C$5)*('Innmelding'!$C$2:$C$701=$B37)*('Innmelding'!$D$2:$D$701='Oversikt'!L$8)*('Innmelding'!$H$2:$H$701&gt;0)))</f>
        <v/>
      </c>
      <c r="AJ37">
        <f>IF(OR($B37="",'Oversikt'!M$8=""),0,SUMPRODUCT(('Innmelding'!$A$2:$A$701='Oversikt'!$C$4)*('Innmelding'!$B$2:$B$701='Oversikt'!$C$5)*('Innmelding'!$C$2:$C$701=$B37)*('Innmelding'!$D$2:$D$701='Oversikt'!M$8)*('Innmelding'!$H$2:$H$701&gt;0)))</f>
        <v/>
      </c>
      <c r="AK37">
        <f>IF(OR($B37="",'Oversikt'!N$8=""),0,SUMPRODUCT(('Innmelding'!$A$2:$A$701='Oversikt'!$C$4)*('Innmelding'!$B$2:$B$701='Oversikt'!$C$5)*('Innmelding'!$C$2:$C$701=$B37)*('Innmelding'!$D$2:$D$701='Oversikt'!N$8)*('Innmelding'!$H$2:$H$701&gt;0)))</f>
        <v/>
      </c>
      <c r="AL37">
        <f>IF(OR($B37="",'Oversikt'!O$8=""),0,SUMPRODUCT(('Innmelding'!$A$2:$A$701='Oversikt'!$C$4)*('Innmelding'!$B$2:$B$701='Oversikt'!$C$5)*('Innmelding'!$C$2:$C$701=$B37)*('Innmelding'!$D$2:$D$701='Oversikt'!O$8)*('Innmelding'!$H$2:$H$701&gt;0)))</f>
        <v/>
      </c>
      <c r="AM37">
        <f>IF(OR($B37="",'Oversikt'!P$8=""),0,SUMPRODUCT(('Innmelding'!$A$2:$A$701='Oversikt'!$C$4)*('Innmelding'!$B$2:$B$701='Oversikt'!$C$5)*('Innmelding'!$C$2:$C$701=$B37)*('Innmelding'!$D$2:$D$701='Oversikt'!P$8)*('Innmelding'!$H$2:$H$701&gt;0)))</f>
        <v/>
      </c>
      <c r="AN37">
        <f>IF(OR($B37="",'Oversikt'!Q$8=""),0,SUMPRODUCT(('Innmelding'!$A$2:$A$701='Oversikt'!$C$4)*('Innmelding'!$B$2:$B$701='Oversikt'!$C$5)*('Innmelding'!$C$2:$C$701=$B37)*('Innmelding'!$D$2:$D$701='Oversikt'!Q$8)*('Innmelding'!$H$2:$H$701&gt;0)))</f>
        <v/>
      </c>
    </row>
    <row r="38">
      <c r="A38" t="n">
        <v>37</v>
      </c>
      <c r="B38">
        <f>IFERROR(INDEX('Elevar'!$A$2:$AZ$41,$A38,MATCH('Oversikt'!$C$5,'Elevar'!$A$1:$AZ$1,0))&amp;"","")</f>
        <v/>
      </c>
      <c r="C38">
        <f>IF($B38="",-1-$A38/1000,COUNTIF($E38:$P38,3)*10000+COUNTIF($E38:$P38,2)*100+COUNTIF($E38:$P38,1)+(100-$A38)/1000)</f>
        <v/>
      </c>
      <c r="D38">
        <f>MATCH(LARGE($C$2:$C$41,$A38),$C$2:$C$41,0)</f>
        <v/>
      </c>
      <c r="E38">
        <f>IF(OR($B38="",'Oversikt'!F$8=""),0,SUMPRODUCT(MAX(('Innmelding'!$A$2:$A$701='Oversikt'!$C$4)*('Innmelding'!$B$2:$B$701='Oversikt'!$C$5)*('Innmelding'!$C$2:$C$701=$B38)*('Innmelding'!$D$2:$D$701='Oversikt'!F$8)*'Innmelding'!$H$2:$H$701)))</f>
        <v/>
      </c>
      <c r="F38">
        <f>IF(OR($B38="",'Oversikt'!G$8=""),0,SUMPRODUCT(MAX(('Innmelding'!$A$2:$A$701='Oversikt'!$C$4)*('Innmelding'!$B$2:$B$701='Oversikt'!$C$5)*('Innmelding'!$C$2:$C$701=$B38)*('Innmelding'!$D$2:$D$701='Oversikt'!G$8)*'Innmelding'!$H$2:$H$701)))</f>
        <v/>
      </c>
      <c r="G38">
        <f>IF(OR($B38="",'Oversikt'!H$8=""),0,SUMPRODUCT(MAX(('Innmelding'!$A$2:$A$701='Oversikt'!$C$4)*('Innmelding'!$B$2:$B$701='Oversikt'!$C$5)*('Innmelding'!$C$2:$C$701=$B38)*('Innmelding'!$D$2:$D$701='Oversikt'!H$8)*'Innmelding'!$H$2:$H$701)))</f>
        <v/>
      </c>
      <c r="H38">
        <f>IF(OR($B38="",'Oversikt'!I$8=""),0,SUMPRODUCT(MAX(('Innmelding'!$A$2:$A$701='Oversikt'!$C$4)*('Innmelding'!$B$2:$B$701='Oversikt'!$C$5)*('Innmelding'!$C$2:$C$701=$B38)*('Innmelding'!$D$2:$D$701='Oversikt'!I$8)*'Innmelding'!$H$2:$H$701)))</f>
        <v/>
      </c>
      <c r="I38">
        <f>IF(OR($B38="",'Oversikt'!J$8=""),0,SUMPRODUCT(MAX(('Innmelding'!$A$2:$A$701='Oversikt'!$C$4)*('Innmelding'!$B$2:$B$701='Oversikt'!$C$5)*('Innmelding'!$C$2:$C$701=$B38)*('Innmelding'!$D$2:$D$701='Oversikt'!J$8)*'Innmelding'!$H$2:$H$701)))</f>
        <v/>
      </c>
      <c r="J38">
        <f>IF(OR($B38="",'Oversikt'!K$8=""),0,SUMPRODUCT(MAX(('Innmelding'!$A$2:$A$701='Oversikt'!$C$4)*('Innmelding'!$B$2:$B$701='Oversikt'!$C$5)*('Innmelding'!$C$2:$C$701=$B38)*('Innmelding'!$D$2:$D$701='Oversikt'!K$8)*'Innmelding'!$H$2:$H$701)))</f>
        <v/>
      </c>
      <c r="K38">
        <f>IF(OR($B38="",'Oversikt'!L$8=""),0,SUMPRODUCT(MAX(('Innmelding'!$A$2:$A$701='Oversikt'!$C$4)*('Innmelding'!$B$2:$B$701='Oversikt'!$C$5)*('Innmelding'!$C$2:$C$701=$B38)*('Innmelding'!$D$2:$D$701='Oversikt'!L$8)*'Innmelding'!$H$2:$H$701)))</f>
        <v/>
      </c>
      <c r="L38">
        <f>IF(OR($B38="",'Oversikt'!M$8=""),0,SUMPRODUCT(MAX(('Innmelding'!$A$2:$A$701='Oversikt'!$C$4)*('Innmelding'!$B$2:$B$701='Oversikt'!$C$5)*('Innmelding'!$C$2:$C$701=$B38)*('Innmelding'!$D$2:$D$701='Oversikt'!M$8)*'Innmelding'!$H$2:$H$701)))</f>
        <v/>
      </c>
      <c r="M38">
        <f>IF(OR($B38="",'Oversikt'!N$8=""),0,SUMPRODUCT(MAX(('Innmelding'!$A$2:$A$701='Oversikt'!$C$4)*('Innmelding'!$B$2:$B$701='Oversikt'!$C$5)*('Innmelding'!$C$2:$C$701=$B38)*('Innmelding'!$D$2:$D$701='Oversikt'!N$8)*'Innmelding'!$H$2:$H$701)))</f>
        <v/>
      </c>
      <c r="N38">
        <f>IF(OR($B38="",'Oversikt'!O$8=""),0,SUMPRODUCT(MAX(('Innmelding'!$A$2:$A$701='Oversikt'!$C$4)*('Innmelding'!$B$2:$B$701='Oversikt'!$C$5)*('Innmelding'!$C$2:$C$701=$B38)*('Innmelding'!$D$2:$D$701='Oversikt'!O$8)*'Innmelding'!$H$2:$H$701)))</f>
        <v/>
      </c>
      <c r="O38">
        <f>IF(OR($B38="",'Oversikt'!P$8=""),0,SUMPRODUCT(MAX(('Innmelding'!$A$2:$A$701='Oversikt'!$C$4)*('Innmelding'!$B$2:$B$701='Oversikt'!$C$5)*('Innmelding'!$C$2:$C$701=$B38)*('Innmelding'!$D$2:$D$701='Oversikt'!P$8)*'Innmelding'!$H$2:$H$701)))</f>
        <v/>
      </c>
      <c r="P38">
        <f>IF(OR($B38="",'Oversikt'!Q$8=""),0,SUMPRODUCT(MAX(('Innmelding'!$A$2:$A$701='Oversikt'!$C$4)*('Innmelding'!$B$2:$B$701='Oversikt'!$C$5)*('Innmelding'!$C$2:$C$701=$B38)*('Innmelding'!$D$2:$D$701='Oversikt'!Q$8)*'Innmelding'!$H$2:$H$701)))</f>
        <v/>
      </c>
      <c r="Q38">
        <f>IF(OR($B38="",'Oversikt'!F$8="",'Oversikt'!$C$6=""),0,SUMPRODUCT(MAX(('Innmelding'!$A$2:$A$701='Oversikt'!$C$6)*('Innmelding'!$B$2:$B$701='Oversikt'!$C$5)*('Innmelding'!$C$2:$C$701=$B38)*('Innmelding'!$D$2:$D$701='Oversikt'!F$8)*'Innmelding'!$H$2:$H$701)))</f>
        <v/>
      </c>
      <c r="R38">
        <f>IF(OR($B38="",'Oversikt'!G$8="",'Oversikt'!$C$6=""),0,SUMPRODUCT(MAX(('Innmelding'!$A$2:$A$701='Oversikt'!$C$6)*('Innmelding'!$B$2:$B$701='Oversikt'!$C$5)*('Innmelding'!$C$2:$C$701=$B38)*('Innmelding'!$D$2:$D$701='Oversikt'!G$8)*'Innmelding'!$H$2:$H$701)))</f>
        <v/>
      </c>
      <c r="S38">
        <f>IF(OR($B38="",'Oversikt'!H$8="",'Oversikt'!$C$6=""),0,SUMPRODUCT(MAX(('Innmelding'!$A$2:$A$701='Oversikt'!$C$6)*('Innmelding'!$B$2:$B$701='Oversikt'!$C$5)*('Innmelding'!$C$2:$C$701=$B38)*('Innmelding'!$D$2:$D$701='Oversikt'!H$8)*'Innmelding'!$H$2:$H$701)))</f>
        <v/>
      </c>
      <c r="T38">
        <f>IF(OR($B38="",'Oversikt'!I$8="",'Oversikt'!$C$6=""),0,SUMPRODUCT(MAX(('Innmelding'!$A$2:$A$701='Oversikt'!$C$6)*('Innmelding'!$B$2:$B$701='Oversikt'!$C$5)*('Innmelding'!$C$2:$C$701=$B38)*('Innmelding'!$D$2:$D$701='Oversikt'!I$8)*'Innmelding'!$H$2:$H$701)))</f>
        <v/>
      </c>
      <c r="U38">
        <f>IF(OR($B38="",'Oversikt'!J$8="",'Oversikt'!$C$6=""),0,SUMPRODUCT(MAX(('Innmelding'!$A$2:$A$701='Oversikt'!$C$6)*('Innmelding'!$B$2:$B$701='Oversikt'!$C$5)*('Innmelding'!$C$2:$C$701=$B38)*('Innmelding'!$D$2:$D$701='Oversikt'!J$8)*'Innmelding'!$H$2:$H$701)))</f>
        <v/>
      </c>
      <c r="V38">
        <f>IF(OR($B38="",'Oversikt'!K$8="",'Oversikt'!$C$6=""),0,SUMPRODUCT(MAX(('Innmelding'!$A$2:$A$701='Oversikt'!$C$6)*('Innmelding'!$B$2:$B$701='Oversikt'!$C$5)*('Innmelding'!$C$2:$C$701=$B38)*('Innmelding'!$D$2:$D$701='Oversikt'!K$8)*'Innmelding'!$H$2:$H$701)))</f>
        <v/>
      </c>
      <c r="W38">
        <f>IF(OR($B38="",'Oversikt'!L$8="",'Oversikt'!$C$6=""),0,SUMPRODUCT(MAX(('Innmelding'!$A$2:$A$701='Oversikt'!$C$6)*('Innmelding'!$B$2:$B$701='Oversikt'!$C$5)*('Innmelding'!$C$2:$C$701=$B38)*('Innmelding'!$D$2:$D$701='Oversikt'!L$8)*'Innmelding'!$H$2:$H$701)))</f>
        <v/>
      </c>
      <c r="X38">
        <f>IF(OR($B38="",'Oversikt'!M$8="",'Oversikt'!$C$6=""),0,SUMPRODUCT(MAX(('Innmelding'!$A$2:$A$701='Oversikt'!$C$6)*('Innmelding'!$B$2:$B$701='Oversikt'!$C$5)*('Innmelding'!$C$2:$C$701=$B38)*('Innmelding'!$D$2:$D$701='Oversikt'!M$8)*'Innmelding'!$H$2:$H$701)))</f>
        <v/>
      </c>
      <c r="Y38">
        <f>IF(OR($B38="",'Oversikt'!N$8="",'Oversikt'!$C$6=""),0,SUMPRODUCT(MAX(('Innmelding'!$A$2:$A$701='Oversikt'!$C$6)*('Innmelding'!$B$2:$B$701='Oversikt'!$C$5)*('Innmelding'!$C$2:$C$701=$B38)*('Innmelding'!$D$2:$D$701='Oversikt'!N$8)*'Innmelding'!$H$2:$H$701)))</f>
        <v/>
      </c>
      <c r="Z38">
        <f>IF(OR($B38="",'Oversikt'!O$8="",'Oversikt'!$C$6=""),0,SUMPRODUCT(MAX(('Innmelding'!$A$2:$A$701='Oversikt'!$C$6)*('Innmelding'!$B$2:$B$701='Oversikt'!$C$5)*('Innmelding'!$C$2:$C$701=$B38)*('Innmelding'!$D$2:$D$701='Oversikt'!O$8)*'Innmelding'!$H$2:$H$701)))</f>
        <v/>
      </c>
      <c r="AA38">
        <f>IF(OR($B38="",'Oversikt'!P$8="",'Oversikt'!$C$6=""),0,SUMPRODUCT(MAX(('Innmelding'!$A$2:$A$701='Oversikt'!$C$6)*('Innmelding'!$B$2:$B$701='Oversikt'!$C$5)*('Innmelding'!$C$2:$C$701=$B38)*('Innmelding'!$D$2:$D$701='Oversikt'!P$8)*'Innmelding'!$H$2:$H$701)))</f>
        <v/>
      </c>
      <c r="AB38">
        <f>IF(OR($B38="",'Oversikt'!Q$8="",'Oversikt'!$C$6=""),0,SUMPRODUCT(MAX(('Innmelding'!$A$2:$A$701='Oversikt'!$C$6)*('Innmelding'!$B$2:$B$701='Oversikt'!$C$5)*('Innmelding'!$C$2:$C$701=$B38)*('Innmelding'!$D$2:$D$701='Oversikt'!Q$8)*'Innmelding'!$H$2:$H$701)))</f>
        <v/>
      </c>
      <c r="AC38">
        <f>IF(OR($B38="",'Oversikt'!F$8=""),0,SUMPRODUCT(('Innmelding'!$A$2:$A$701='Oversikt'!$C$4)*('Innmelding'!$B$2:$B$701='Oversikt'!$C$5)*('Innmelding'!$C$2:$C$701=$B38)*('Innmelding'!$D$2:$D$701='Oversikt'!F$8)*('Innmelding'!$H$2:$H$701&gt;0)))</f>
        <v/>
      </c>
      <c r="AD38">
        <f>IF(OR($B38="",'Oversikt'!G$8=""),0,SUMPRODUCT(('Innmelding'!$A$2:$A$701='Oversikt'!$C$4)*('Innmelding'!$B$2:$B$701='Oversikt'!$C$5)*('Innmelding'!$C$2:$C$701=$B38)*('Innmelding'!$D$2:$D$701='Oversikt'!G$8)*('Innmelding'!$H$2:$H$701&gt;0)))</f>
        <v/>
      </c>
      <c r="AE38">
        <f>IF(OR($B38="",'Oversikt'!H$8=""),0,SUMPRODUCT(('Innmelding'!$A$2:$A$701='Oversikt'!$C$4)*('Innmelding'!$B$2:$B$701='Oversikt'!$C$5)*('Innmelding'!$C$2:$C$701=$B38)*('Innmelding'!$D$2:$D$701='Oversikt'!H$8)*('Innmelding'!$H$2:$H$701&gt;0)))</f>
        <v/>
      </c>
      <c r="AF38">
        <f>IF(OR($B38="",'Oversikt'!I$8=""),0,SUMPRODUCT(('Innmelding'!$A$2:$A$701='Oversikt'!$C$4)*('Innmelding'!$B$2:$B$701='Oversikt'!$C$5)*('Innmelding'!$C$2:$C$701=$B38)*('Innmelding'!$D$2:$D$701='Oversikt'!I$8)*('Innmelding'!$H$2:$H$701&gt;0)))</f>
        <v/>
      </c>
      <c r="AG38">
        <f>IF(OR($B38="",'Oversikt'!J$8=""),0,SUMPRODUCT(('Innmelding'!$A$2:$A$701='Oversikt'!$C$4)*('Innmelding'!$B$2:$B$701='Oversikt'!$C$5)*('Innmelding'!$C$2:$C$701=$B38)*('Innmelding'!$D$2:$D$701='Oversikt'!J$8)*('Innmelding'!$H$2:$H$701&gt;0)))</f>
        <v/>
      </c>
      <c r="AH38">
        <f>IF(OR($B38="",'Oversikt'!K$8=""),0,SUMPRODUCT(('Innmelding'!$A$2:$A$701='Oversikt'!$C$4)*('Innmelding'!$B$2:$B$701='Oversikt'!$C$5)*('Innmelding'!$C$2:$C$701=$B38)*('Innmelding'!$D$2:$D$701='Oversikt'!K$8)*('Innmelding'!$H$2:$H$701&gt;0)))</f>
        <v/>
      </c>
      <c r="AI38">
        <f>IF(OR($B38="",'Oversikt'!L$8=""),0,SUMPRODUCT(('Innmelding'!$A$2:$A$701='Oversikt'!$C$4)*('Innmelding'!$B$2:$B$701='Oversikt'!$C$5)*('Innmelding'!$C$2:$C$701=$B38)*('Innmelding'!$D$2:$D$701='Oversikt'!L$8)*('Innmelding'!$H$2:$H$701&gt;0)))</f>
        <v/>
      </c>
      <c r="AJ38">
        <f>IF(OR($B38="",'Oversikt'!M$8=""),0,SUMPRODUCT(('Innmelding'!$A$2:$A$701='Oversikt'!$C$4)*('Innmelding'!$B$2:$B$701='Oversikt'!$C$5)*('Innmelding'!$C$2:$C$701=$B38)*('Innmelding'!$D$2:$D$701='Oversikt'!M$8)*('Innmelding'!$H$2:$H$701&gt;0)))</f>
        <v/>
      </c>
      <c r="AK38">
        <f>IF(OR($B38="",'Oversikt'!N$8=""),0,SUMPRODUCT(('Innmelding'!$A$2:$A$701='Oversikt'!$C$4)*('Innmelding'!$B$2:$B$701='Oversikt'!$C$5)*('Innmelding'!$C$2:$C$701=$B38)*('Innmelding'!$D$2:$D$701='Oversikt'!N$8)*('Innmelding'!$H$2:$H$701&gt;0)))</f>
        <v/>
      </c>
      <c r="AL38">
        <f>IF(OR($B38="",'Oversikt'!O$8=""),0,SUMPRODUCT(('Innmelding'!$A$2:$A$701='Oversikt'!$C$4)*('Innmelding'!$B$2:$B$701='Oversikt'!$C$5)*('Innmelding'!$C$2:$C$701=$B38)*('Innmelding'!$D$2:$D$701='Oversikt'!O$8)*('Innmelding'!$H$2:$H$701&gt;0)))</f>
        <v/>
      </c>
      <c r="AM38">
        <f>IF(OR($B38="",'Oversikt'!P$8=""),0,SUMPRODUCT(('Innmelding'!$A$2:$A$701='Oversikt'!$C$4)*('Innmelding'!$B$2:$B$701='Oversikt'!$C$5)*('Innmelding'!$C$2:$C$701=$B38)*('Innmelding'!$D$2:$D$701='Oversikt'!P$8)*('Innmelding'!$H$2:$H$701&gt;0)))</f>
        <v/>
      </c>
      <c r="AN38">
        <f>IF(OR($B38="",'Oversikt'!Q$8=""),0,SUMPRODUCT(('Innmelding'!$A$2:$A$701='Oversikt'!$C$4)*('Innmelding'!$B$2:$B$701='Oversikt'!$C$5)*('Innmelding'!$C$2:$C$701=$B38)*('Innmelding'!$D$2:$D$701='Oversikt'!Q$8)*('Innmelding'!$H$2:$H$701&gt;0)))</f>
        <v/>
      </c>
    </row>
    <row r="39">
      <c r="A39" t="n">
        <v>38</v>
      </c>
      <c r="B39">
        <f>IFERROR(INDEX('Elevar'!$A$2:$AZ$41,$A39,MATCH('Oversikt'!$C$5,'Elevar'!$A$1:$AZ$1,0))&amp;"","")</f>
        <v/>
      </c>
      <c r="C39">
        <f>IF($B39="",-1-$A39/1000,COUNTIF($E39:$P39,3)*10000+COUNTIF($E39:$P39,2)*100+COUNTIF($E39:$P39,1)+(100-$A39)/1000)</f>
        <v/>
      </c>
      <c r="D39">
        <f>MATCH(LARGE($C$2:$C$41,$A39),$C$2:$C$41,0)</f>
        <v/>
      </c>
      <c r="E39">
        <f>IF(OR($B39="",'Oversikt'!F$8=""),0,SUMPRODUCT(MAX(('Innmelding'!$A$2:$A$701='Oversikt'!$C$4)*('Innmelding'!$B$2:$B$701='Oversikt'!$C$5)*('Innmelding'!$C$2:$C$701=$B39)*('Innmelding'!$D$2:$D$701='Oversikt'!F$8)*'Innmelding'!$H$2:$H$701)))</f>
        <v/>
      </c>
      <c r="F39">
        <f>IF(OR($B39="",'Oversikt'!G$8=""),0,SUMPRODUCT(MAX(('Innmelding'!$A$2:$A$701='Oversikt'!$C$4)*('Innmelding'!$B$2:$B$701='Oversikt'!$C$5)*('Innmelding'!$C$2:$C$701=$B39)*('Innmelding'!$D$2:$D$701='Oversikt'!G$8)*'Innmelding'!$H$2:$H$701)))</f>
        <v/>
      </c>
      <c r="G39">
        <f>IF(OR($B39="",'Oversikt'!H$8=""),0,SUMPRODUCT(MAX(('Innmelding'!$A$2:$A$701='Oversikt'!$C$4)*('Innmelding'!$B$2:$B$701='Oversikt'!$C$5)*('Innmelding'!$C$2:$C$701=$B39)*('Innmelding'!$D$2:$D$701='Oversikt'!H$8)*'Innmelding'!$H$2:$H$701)))</f>
        <v/>
      </c>
      <c r="H39">
        <f>IF(OR($B39="",'Oversikt'!I$8=""),0,SUMPRODUCT(MAX(('Innmelding'!$A$2:$A$701='Oversikt'!$C$4)*('Innmelding'!$B$2:$B$701='Oversikt'!$C$5)*('Innmelding'!$C$2:$C$701=$B39)*('Innmelding'!$D$2:$D$701='Oversikt'!I$8)*'Innmelding'!$H$2:$H$701)))</f>
        <v/>
      </c>
      <c r="I39">
        <f>IF(OR($B39="",'Oversikt'!J$8=""),0,SUMPRODUCT(MAX(('Innmelding'!$A$2:$A$701='Oversikt'!$C$4)*('Innmelding'!$B$2:$B$701='Oversikt'!$C$5)*('Innmelding'!$C$2:$C$701=$B39)*('Innmelding'!$D$2:$D$701='Oversikt'!J$8)*'Innmelding'!$H$2:$H$701)))</f>
        <v/>
      </c>
      <c r="J39">
        <f>IF(OR($B39="",'Oversikt'!K$8=""),0,SUMPRODUCT(MAX(('Innmelding'!$A$2:$A$701='Oversikt'!$C$4)*('Innmelding'!$B$2:$B$701='Oversikt'!$C$5)*('Innmelding'!$C$2:$C$701=$B39)*('Innmelding'!$D$2:$D$701='Oversikt'!K$8)*'Innmelding'!$H$2:$H$701)))</f>
        <v/>
      </c>
      <c r="K39">
        <f>IF(OR($B39="",'Oversikt'!L$8=""),0,SUMPRODUCT(MAX(('Innmelding'!$A$2:$A$701='Oversikt'!$C$4)*('Innmelding'!$B$2:$B$701='Oversikt'!$C$5)*('Innmelding'!$C$2:$C$701=$B39)*('Innmelding'!$D$2:$D$701='Oversikt'!L$8)*'Innmelding'!$H$2:$H$701)))</f>
        <v/>
      </c>
      <c r="L39">
        <f>IF(OR($B39="",'Oversikt'!M$8=""),0,SUMPRODUCT(MAX(('Innmelding'!$A$2:$A$701='Oversikt'!$C$4)*('Innmelding'!$B$2:$B$701='Oversikt'!$C$5)*('Innmelding'!$C$2:$C$701=$B39)*('Innmelding'!$D$2:$D$701='Oversikt'!M$8)*'Innmelding'!$H$2:$H$701)))</f>
        <v/>
      </c>
      <c r="M39">
        <f>IF(OR($B39="",'Oversikt'!N$8=""),0,SUMPRODUCT(MAX(('Innmelding'!$A$2:$A$701='Oversikt'!$C$4)*('Innmelding'!$B$2:$B$701='Oversikt'!$C$5)*('Innmelding'!$C$2:$C$701=$B39)*('Innmelding'!$D$2:$D$701='Oversikt'!N$8)*'Innmelding'!$H$2:$H$701)))</f>
        <v/>
      </c>
      <c r="N39">
        <f>IF(OR($B39="",'Oversikt'!O$8=""),0,SUMPRODUCT(MAX(('Innmelding'!$A$2:$A$701='Oversikt'!$C$4)*('Innmelding'!$B$2:$B$701='Oversikt'!$C$5)*('Innmelding'!$C$2:$C$701=$B39)*('Innmelding'!$D$2:$D$701='Oversikt'!O$8)*'Innmelding'!$H$2:$H$701)))</f>
        <v/>
      </c>
      <c r="O39">
        <f>IF(OR($B39="",'Oversikt'!P$8=""),0,SUMPRODUCT(MAX(('Innmelding'!$A$2:$A$701='Oversikt'!$C$4)*('Innmelding'!$B$2:$B$701='Oversikt'!$C$5)*('Innmelding'!$C$2:$C$701=$B39)*('Innmelding'!$D$2:$D$701='Oversikt'!P$8)*'Innmelding'!$H$2:$H$701)))</f>
        <v/>
      </c>
      <c r="P39">
        <f>IF(OR($B39="",'Oversikt'!Q$8=""),0,SUMPRODUCT(MAX(('Innmelding'!$A$2:$A$701='Oversikt'!$C$4)*('Innmelding'!$B$2:$B$701='Oversikt'!$C$5)*('Innmelding'!$C$2:$C$701=$B39)*('Innmelding'!$D$2:$D$701='Oversikt'!Q$8)*'Innmelding'!$H$2:$H$701)))</f>
        <v/>
      </c>
      <c r="Q39">
        <f>IF(OR($B39="",'Oversikt'!F$8="",'Oversikt'!$C$6=""),0,SUMPRODUCT(MAX(('Innmelding'!$A$2:$A$701='Oversikt'!$C$6)*('Innmelding'!$B$2:$B$701='Oversikt'!$C$5)*('Innmelding'!$C$2:$C$701=$B39)*('Innmelding'!$D$2:$D$701='Oversikt'!F$8)*'Innmelding'!$H$2:$H$701)))</f>
        <v/>
      </c>
      <c r="R39">
        <f>IF(OR($B39="",'Oversikt'!G$8="",'Oversikt'!$C$6=""),0,SUMPRODUCT(MAX(('Innmelding'!$A$2:$A$701='Oversikt'!$C$6)*('Innmelding'!$B$2:$B$701='Oversikt'!$C$5)*('Innmelding'!$C$2:$C$701=$B39)*('Innmelding'!$D$2:$D$701='Oversikt'!G$8)*'Innmelding'!$H$2:$H$701)))</f>
        <v/>
      </c>
      <c r="S39">
        <f>IF(OR($B39="",'Oversikt'!H$8="",'Oversikt'!$C$6=""),0,SUMPRODUCT(MAX(('Innmelding'!$A$2:$A$701='Oversikt'!$C$6)*('Innmelding'!$B$2:$B$701='Oversikt'!$C$5)*('Innmelding'!$C$2:$C$701=$B39)*('Innmelding'!$D$2:$D$701='Oversikt'!H$8)*'Innmelding'!$H$2:$H$701)))</f>
        <v/>
      </c>
      <c r="T39">
        <f>IF(OR($B39="",'Oversikt'!I$8="",'Oversikt'!$C$6=""),0,SUMPRODUCT(MAX(('Innmelding'!$A$2:$A$701='Oversikt'!$C$6)*('Innmelding'!$B$2:$B$701='Oversikt'!$C$5)*('Innmelding'!$C$2:$C$701=$B39)*('Innmelding'!$D$2:$D$701='Oversikt'!I$8)*'Innmelding'!$H$2:$H$701)))</f>
        <v/>
      </c>
      <c r="U39">
        <f>IF(OR($B39="",'Oversikt'!J$8="",'Oversikt'!$C$6=""),0,SUMPRODUCT(MAX(('Innmelding'!$A$2:$A$701='Oversikt'!$C$6)*('Innmelding'!$B$2:$B$701='Oversikt'!$C$5)*('Innmelding'!$C$2:$C$701=$B39)*('Innmelding'!$D$2:$D$701='Oversikt'!J$8)*'Innmelding'!$H$2:$H$701)))</f>
        <v/>
      </c>
      <c r="V39">
        <f>IF(OR($B39="",'Oversikt'!K$8="",'Oversikt'!$C$6=""),0,SUMPRODUCT(MAX(('Innmelding'!$A$2:$A$701='Oversikt'!$C$6)*('Innmelding'!$B$2:$B$701='Oversikt'!$C$5)*('Innmelding'!$C$2:$C$701=$B39)*('Innmelding'!$D$2:$D$701='Oversikt'!K$8)*'Innmelding'!$H$2:$H$701)))</f>
        <v/>
      </c>
      <c r="W39">
        <f>IF(OR($B39="",'Oversikt'!L$8="",'Oversikt'!$C$6=""),0,SUMPRODUCT(MAX(('Innmelding'!$A$2:$A$701='Oversikt'!$C$6)*('Innmelding'!$B$2:$B$701='Oversikt'!$C$5)*('Innmelding'!$C$2:$C$701=$B39)*('Innmelding'!$D$2:$D$701='Oversikt'!L$8)*'Innmelding'!$H$2:$H$701)))</f>
        <v/>
      </c>
      <c r="X39">
        <f>IF(OR($B39="",'Oversikt'!M$8="",'Oversikt'!$C$6=""),0,SUMPRODUCT(MAX(('Innmelding'!$A$2:$A$701='Oversikt'!$C$6)*('Innmelding'!$B$2:$B$701='Oversikt'!$C$5)*('Innmelding'!$C$2:$C$701=$B39)*('Innmelding'!$D$2:$D$701='Oversikt'!M$8)*'Innmelding'!$H$2:$H$701)))</f>
        <v/>
      </c>
      <c r="Y39">
        <f>IF(OR($B39="",'Oversikt'!N$8="",'Oversikt'!$C$6=""),0,SUMPRODUCT(MAX(('Innmelding'!$A$2:$A$701='Oversikt'!$C$6)*('Innmelding'!$B$2:$B$701='Oversikt'!$C$5)*('Innmelding'!$C$2:$C$701=$B39)*('Innmelding'!$D$2:$D$701='Oversikt'!N$8)*'Innmelding'!$H$2:$H$701)))</f>
        <v/>
      </c>
      <c r="Z39">
        <f>IF(OR($B39="",'Oversikt'!O$8="",'Oversikt'!$C$6=""),0,SUMPRODUCT(MAX(('Innmelding'!$A$2:$A$701='Oversikt'!$C$6)*('Innmelding'!$B$2:$B$701='Oversikt'!$C$5)*('Innmelding'!$C$2:$C$701=$B39)*('Innmelding'!$D$2:$D$701='Oversikt'!O$8)*'Innmelding'!$H$2:$H$701)))</f>
        <v/>
      </c>
      <c r="AA39">
        <f>IF(OR($B39="",'Oversikt'!P$8="",'Oversikt'!$C$6=""),0,SUMPRODUCT(MAX(('Innmelding'!$A$2:$A$701='Oversikt'!$C$6)*('Innmelding'!$B$2:$B$701='Oversikt'!$C$5)*('Innmelding'!$C$2:$C$701=$B39)*('Innmelding'!$D$2:$D$701='Oversikt'!P$8)*'Innmelding'!$H$2:$H$701)))</f>
        <v/>
      </c>
      <c r="AB39">
        <f>IF(OR($B39="",'Oversikt'!Q$8="",'Oversikt'!$C$6=""),0,SUMPRODUCT(MAX(('Innmelding'!$A$2:$A$701='Oversikt'!$C$6)*('Innmelding'!$B$2:$B$701='Oversikt'!$C$5)*('Innmelding'!$C$2:$C$701=$B39)*('Innmelding'!$D$2:$D$701='Oversikt'!Q$8)*'Innmelding'!$H$2:$H$701)))</f>
        <v/>
      </c>
      <c r="AC39">
        <f>IF(OR($B39="",'Oversikt'!F$8=""),0,SUMPRODUCT(('Innmelding'!$A$2:$A$701='Oversikt'!$C$4)*('Innmelding'!$B$2:$B$701='Oversikt'!$C$5)*('Innmelding'!$C$2:$C$701=$B39)*('Innmelding'!$D$2:$D$701='Oversikt'!F$8)*('Innmelding'!$H$2:$H$701&gt;0)))</f>
        <v/>
      </c>
      <c r="AD39">
        <f>IF(OR($B39="",'Oversikt'!G$8=""),0,SUMPRODUCT(('Innmelding'!$A$2:$A$701='Oversikt'!$C$4)*('Innmelding'!$B$2:$B$701='Oversikt'!$C$5)*('Innmelding'!$C$2:$C$701=$B39)*('Innmelding'!$D$2:$D$701='Oversikt'!G$8)*('Innmelding'!$H$2:$H$701&gt;0)))</f>
        <v/>
      </c>
      <c r="AE39">
        <f>IF(OR($B39="",'Oversikt'!H$8=""),0,SUMPRODUCT(('Innmelding'!$A$2:$A$701='Oversikt'!$C$4)*('Innmelding'!$B$2:$B$701='Oversikt'!$C$5)*('Innmelding'!$C$2:$C$701=$B39)*('Innmelding'!$D$2:$D$701='Oversikt'!H$8)*('Innmelding'!$H$2:$H$701&gt;0)))</f>
        <v/>
      </c>
      <c r="AF39">
        <f>IF(OR($B39="",'Oversikt'!I$8=""),0,SUMPRODUCT(('Innmelding'!$A$2:$A$701='Oversikt'!$C$4)*('Innmelding'!$B$2:$B$701='Oversikt'!$C$5)*('Innmelding'!$C$2:$C$701=$B39)*('Innmelding'!$D$2:$D$701='Oversikt'!I$8)*('Innmelding'!$H$2:$H$701&gt;0)))</f>
        <v/>
      </c>
      <c r="AG39">
        <f>IF(OR($B39="",'Oversikt'!J$8=""),0,SUMPRODUCT(('Innmelding'!$A$2:$A$701='Oversikt'!$C$4)*('Innmelding'!$B$2:$B$701='Oversikt'!$C$5)*('Innmelding'!$C$2:$C$701=$B39)*('Innmelding'!$D$2:$D$701='Oversikt'!J$8)*('Innmelding'!$H$2:$H$701&gt;0)))</f>
        <v/>
      </c>
      <c r="AH39">
        <f>IF(OR($B39="",'Oversikt'!K$8=""),0,SUMPRODUCT(('Innmelding'!$A$2:$A$701='Oversikt'!$C$4)*('Innmelding'!$B$2:$B$701='Oversikt'!$C$5)*('Innmelding'!$C$2:$C$701=$B39)*('Innmelding'!$D$2:$D$701='Oversikt'!K$8)*('Innmelding'!$H$2:$H$701&gt;0)))</f>
        <v/>
      </c>
      <c r="AI39">
        <f>IF(OR($B39="",'Oversikt'!L$8=""),0,SUMPRODUCT(('Innmelding'!$A$2:$A$701='Oversikt'!$C$4)*('Innmelding'!$B$2:$B$701='Oversikt'!$C$5)*('Innmelding'!$C$2:$C$701=$B39)*('Innmelding'!$D$2:$D$701='Oversikt'!L$8)*('Innmelding'!$H$2:$H$701&gt;0)))</f>
        <v/>
      </c>
      <c r="AJ39">
        <f>IF(OR($B39="",'Oversikt'!M$8=""),0,SUMPRODUCT(('Innmelding'!$A$2:$A$701='Oversikt'!$C$4)*('Innmelding'!$B$2:$B$701='Oversikt'!$C$5)*('Innmelding'!$C$2:$C$701=$B39)*('Innmelding'!$D$2:$D$701='Oversikt'!M$8)*('Innmelding'!$H$2:$H$701&gt;0)))</f>
        <v/>
      </c>
      <c r="AK39">
        <f>IF(OR($B39="",'Oversikt'!N$8=""),0,SUMPRODUCT(('Innmelding'!$A$2:$A$701='Oversikt'!$C$4)*('Innmelding'!$B$2:$B$701='Oversikt'!$C$5)*('Innmelding'!$C$2:$C$701=$B39)*('Innmelding'!$D$2:$D$701='Oversikt'!N$8)*('Innmelding'!$H$2:$H$701&gt;0)))</f>
        <v/>
      </c>
      <c r="AL39">
        <f>IF(OR($B39="",'Oversikt'!O$8=""),0,SUMPRODUCT(('Innmelding'!$A$2:$A$701='Oversikt'!$C$4)*('Innmelding'!$B$2:$B$701='Oversikt'!$C$5)*('Innmelding'!$C$2:$C$701=$B39)*('Innmelding'!$D$2:$D$701='Oversikt'!O$8)*('Innmelding'!$H$2:$H$701&gt;0)))</f>
        <v/>
      </c>
      <c r="AM39">
        <f>IF(OR($B39="",'Oversikt'!P$8=""),0,SUMPRODUCT(('Innmelding'!$A$2:$A$701='Oversikt'!$C$4)*('Innmelding'!$B$2:$B$701='Oversikt'!$C$5)*('Innmelding'!$C$2:$C$701=$B39)*('Innmelding'!$D$2:$D$701='Oversikt'!P$8)*('Innmelding'!$H$2:$H$701&gt;0)))</f>
        <v/>
      </c>
      <c r="AN39">
        <f>IF(OR($B39="",'Oversikt'!Q$8=""),0,SUMPRODUCT(('Innmelding'!$A$2:$A$701='Oversikt'!$C$4)*('Innmelding'!$B$2:$B$701='Oversikt'!$C$5)*('Innmelding'!$C$2:$C$701=$B39)*('Innmelding'!$D$2:$D$701='Oversikt'!Q$8)*('Innmelding'!$H$2:$H$701&gt;0)))</f>
        <v/>
      </c>
    </row>
    <row r="40">
      <c r="A40" t="n">
        <v>39</v>
      </c>
      <c r="B40">
        <f>IFERROR(INDEX('Elevar'!$A$2:$AZ$41,$A40,MATCH('Oversikt'!$C$5,'Elevar'!$A$1:$AZ$1,0))&amp;"","")</f>
        <v/>
      </c>
      <c r="C40">
        <f>IF($B40="",-1-$A40/1000,COUNTIF($E40:$P40,3)*10000+COUNTIF($E40:$P40,2)*100+COUNTIF($E40:$P40,1)+(100-$A40)/1000)</f>
        <v/>
      </c>
      <c r="D40">
        <f>MATCH(LARGE($C$2:$C$41,$A40),$C$2:$C$41,0)</f>
        <v/>
      </c>
      <c r="E40">
        <f>IF(OR($B40="",'Oversikt'!F$8=""),0,SUMPRODUCT(MAX(('Innmelding'!$A$2:$A$701='Oversikt'!$C$4)*('Innmelding'!$B$2:$B$701='Oversikt'!$C$5)*('Innmelding'!$C$2:$C$701=$B40)*('Innmelding'!$D$2:$D$701='Oversikt'!F$8)*'Innmelding'!$H$2:$H$701)))</f>
        <v/>
      </c>
      <c r="F40">
        <f>IF(OR($B40="",'Oversikt'!G$8=""),0,SUMPRODUCT(MAX(('Innmelding'!$A$2:$A$701='Oversikt'!$C$4)*('Innmelding'!$B$2:$B$701='Oversikt'!$C$5)*('Innmelding'!$C$2:$C$701=$B40)*('Innmelding'!$D$2:$D$701='Oversikt'!G$8)*'Innmelding'!$H$2:$H$701)))</f>
        <v/>
      </c>
      <c r="G40">
        <f>IF(OR($B40="",'Oversikt'!H$8=""),0,SUMPRODUCT(MAX(('Innmelding'!$A$2:$A$701='Oversikt'!$C$4)*('Innmelding'!$B$2:$B$701='Oversikt'!$C$5)*('Innmelding'!$C$2:$C$701=$B40)*('Innmelding'!$D$2:$D$701='Oversikt'!H$8)*'Innmelding'!$H$2:$H$701)))</f>
        <v/>
      </c>
      <c r="H40">
        <f>IF(OR($B40="",'Oversikt'!I$8=""),0,SUMPRODUCT(MAX(('Innmelding'!$A$2:$A$701='Oversikt'!$C$4)*('Innmelding'!$B$2:$B$701='Oversikt'!$C$5)*('Innmelding'!$C$2:$C$701=$B40)*('Innmelding'!$D$2:$D$701='Oversikt'!I$8)*'Innmelding'!$H$2:$H$701)))</f>
        <v/>
      </c>
      <c r="I40">
        <f>IF(OR($B40="",'Oversikt'!J$8=""),0,SUMPRODUCT(MAX(('Innmelding'!$A$2:$A$701='Oversikt'!$C$4)*('Innmelding'!$B$2:$B$701='Oversikt'!$C$5)*('Innmelding'!$C$2:$C$701=$B40)*('Innmelding'!$D$2:$D$701='Oversikt'!J$8)*'Innmelding'!$H$2:$H$701)))</f>
        <v/>
      </c>
      <c r="J40">
        <f>IF(OR($B40="",'Oversikt'!K$8=""),0,SUMPRODUCT(MAX(('Innmelding'!$A$2:$A$701='Oversikt'!$C$4)*('Innmelding'!$B$2:$B$701='Oversikt'!$C$5)*('Innmelding'!$C$2:$C$701=$B40)*('Innmelding'!$D$2:$D$701='Oversikt'!K$8)*'Innmelding'!$H$2:$H$701)))</f>
        <v/>
      </c>
      <c r="K40">
        <f>IF(OR($B40="",'Oversikt'!L$8=""),0,SUMPRODUCT(MAX(('Innmelding'!$A$2:$A$701='Oversikt'!$C$4)*('Innmelding'!$B$2:$B$701='Oversikt'!$C$5)*('Innmelding'!$C$2:$C$701=$B40)*('Innmelding'!$D$2:$D$701='Oversikt'!L$8)*'Innmelding'!$H$2:$H$701)))</f>
        <v/>
      </c>
      <c r="L40">
        <f>IF(OR($B40="",'Oversikt'!M$8=""),0,SUMPRODUCT(MAX(('Innmelding'!$A$2:$A$701='Oversikt'!$C$4)*('Innmelding'!$B$2:$B$701='Oversikt'!$C$5)*('Innmelding'!$C$2:$C$701=$B40)*('Innmelding'!$D$2:$D$701='Oversikt'!M$8)*'Innmelding'!$H$2:$H$701)))</f>
        <v/>
      </c>
      <c r="M40">
        <f>IF(OR($B40="",'Oversikt'!N$8=""),0,SUMPRODUCT(MAX(('Innmelding'!$A$2:$A$701='Oversikt'!$C$4)*('Innmelding'!$B$2:$B$701='Oversikt'!$C$5)*('Innmelding'!$C$2:$C$701=$B40)*('Innmelding'!$D$2:$D$701='Oversikt'!N$8)*'Innmelding'!$H$2:$H$701)))</f>
        <v/>
      </c>
      <c r="N40">
        <f>IF(OR($B40="",'Oversikt'!O$8=""),0,SUMPRODUCT(MAX(('Innmelding'!$A$2:$A$701='Oversikt'!$C$4)*('Innmelding'!$B$2:$B$701='Oversikt'!$C$5)*('Innmelding'!$C$2:$C$701=$B40)*('Innmelding'!$D$2:$D$701='Oversikt'!O$8)*'Innmelding'!$H$2:$H$701)))</f>
        <v/>
      </c>
      <c r="O40">
        <f>IF(OR($B40="",'Oversikt'!P$8=""),0,SUMPRODUCT(MAX(('Innmelding'!$A$2:$A$701='Oversikt'!$C$4)*('Innmelding'!$B$2:$B$701='Oversikt'!$C$5)*('Innmelding'!$C$2:$C$701=$B40)*('Innmelding'!$D$2:$D$701='Oversikt'!P$8)*'Innmelding'!$H$2:$H$701)))</f>
        <v/>
      </c>
      <c r="P40">
        <f>IF(OR($B40="",'Oversikt'!Q$8=""),0,SUMPRODUCT(MAX(('Innmelding'!$A$2:$A$701='Oversikt'!$C$4)*('Innmelding'!$B$2:$B$701='Oversikt'!$C$5)*('Innmelding'!$C$2:$C$701=$B40)*('Innmelding'!$D$2:$D$701='Oversikt'!Q$8)*'Innmelding'!$H$2:$H$701)))</f>
        <v/>
      </c>
      <c r="Q40">
        <f>IF(OR($B40="",'Oversikt'!F$8="",'Oversikt'!$C$6=""),0,SUMPRODUCT(MAX(('Innmelding'!$A$2:$A$701='Oversikt'!$C$6)*('Innmelding'!$B$2:$B$701='Oversikt'!$C$5)*('Innmelding'!$C$2:$C$701=$B40)*('Innmelding'!$D$2:$D$701='Oversikt'!F$8)*'Innmelding'!$H$2:$H$701)))</f>
        <v/>
      </c>
      <c r="R40">
        <f>IF(OR($B40="",'Oversikt'!G$8="",'Oversikt'!$C$6=""),0,SUMPRODUCT(MAX(('Innmelding'!$A$2:$A$701='Oversikt'!$C$6)*('Innmelding'!$B$2:$B$701='Oversikt'!$C$5)*('Innmelding'!$C$2:$C$701=$B40)*('Innmelding'!$D$2:$D$701='Oversikt'!G$8)*'Innmelding'!$H$2:$H$701)))</f>
        <v/>
      </c>
      <c r="S40">
        <f>IF(OR($B40="",'Oversikt'!H$8="",'Oversikt'!$C$6=""),0,SUMPRODUCT(MAX(('Innmelding'!$A$2:$A$701='Oversikt'!$C$6)*('Innmelding'!$B$2:$B$701='Oversikt'!$C$5)*('Innmelding'!$C$2:$C$701=$B40)*('Innmelding'!$D$2:$D$701='Oversikt'!H$8)*'Innmelding'!$H$2:$H$701)))</f>
        <v/>
      </c>
      <c r="T40">
        <f>IF(OR($B40="",'Oversikt'!I$8="",'Oversikt'!$C$6=""),0,SUMPRODUCT(MAX(('Innmelding'!$A$2:$A$701='Oversikt'!$C$6)*('Innmelding'!$B$2:$B$701='Oversikt'!$C$5)*('Innmelding'!$C$2:$C$701=$B40)*('Innmelding'!$D$2:$D$701='Oversikt'!I$8)*'Innmelding'!$H$2:$H$701)))</f>
        <v/>
      </c>
      <c r="U40">
        <f>IF(OR($B40="",'Oversikt'!J$8="",'Oversikt'!$C$6=""),0,SUMPRODUCT(MAX(('Innmelding'!$A$2:$A$701='Oversikt'!$C$6)*('Innmelding'!$B$2:$B$701='Oversikt'!$C$5)*('Innmelding'!$C$2:$C$701=$B40)*('Innmelding'!$D$2:$D$701='Oversikt'!J$8)*'Innmelding'!$H$2:$H$701)))</f>
        <v/>
      </c>
      <c r="V40">
        <f>IF(OR($B40="",'Oversikt'!K$8="",'Oversikt'!$C$6=""),0,SUMPRODUCT(MAX(('Innmelding'!$A$2:$A$701='Oversikt'!$C$6)*('Innmelding'!$B$2:$B$701='Oversikt'!$C$5)*('Innmelding'!$C$2:$C$701=$B40)*('Innmelding'!$D$2:$D$701='Oversikt'!K$8)*'Innmelding'!$H$2:$H$701)))</f>
        <v/>
      </c>
      <c r="W40">
        <f>IF(OR($B40="",'Oversikt'!L$8="",'Oversikt'!$C$6=""),0,SUMPRODUCT(MAX(('Innmelding'!$A$2:$A$701='Oversikt'!$C$6)*('Innmelding'!$B$2:$B$701='Oversikt'!$C$5)*('Innmelding'!$C$2:$C$701=$B40)*('Innmelding'!$D$2:$D$701='Oversikt'!L$8)*'Innmelding'!$H$2:$H$701)))</f>
        <v/>
      </c>
      <c r="X40">
        <f>IF(OR($B40="",'Oversikt'!M$8="",'Oversikt'!$C$6=""),0,SUMPRODUCT(MAX(('Innmelding'!$A$2:$A$701='Oversikt'!$C$6)*('Innmelding'!$B$2:$B$701='Oversikt'!$C$5)*('Innmelding'!$C$2:$C$701=$B40)*('Innmelding'!$D$2:$D$701='Oversikt'!M$8)*'Innmelding'!$H$2:$H$701)))</f>
        <v/>
      </c>
      <c r="Y40">
        <f>IF(OR($B40="",'Oversikt'!N$8="",'Oversikt'!$C$6=""),0,SUMPRODUCT(MAX(('Innmelding'!$A$2:$A$701='Oversikt'!$C$6)*('Innmelding'!$B$2:$B$701='Oversikt'!$C$5)*('Innmelding'!$C$2:$C$701=$B40)*('Innmelding'!$D$2:$D$701='Oversikt'!N$8)*'Innmelding'!$H$2:$H$701)))</f>
        <v/>
      </c>
      <c r="Z40">
        <f>IF(OR($B40="",'Oversikt'!O$8="",'Oversikt'!$C$6=""),0,SUMPRODUCT(MAX(('Innmelding'!$A$2:$A$701='Oversikt'!$C$6)*('Innmelding'!$B$2:$B$701='Oversikt'!$C$5)*('Innmelding'!$C$2:$C$701=$B40)*('Innmelding'!$D$2:$D$701='Oversikt'!O$8)*'Innmelding'!$H$2:$H$701)))</f>
        <v/>
      </c>
      <c r="AA40">
        <f>IF(OR($B40="",'Oversikt'!P$8="",'Oversikt'!$C$6=""),0,SUMPRODUCT(MAX(('Innmelding'!$A$2:$A$701='Oversikt'!$C$6)*('Innmelding'!$B$2:$B$701='Oversikt'!$C$5)*('Innmelding'!$C$2:$C$701=$B40)*('Innmelding'!$D$2:$D$701='Oversikt'!P$8)*'Innmelding'!$H$2:$H$701)))</f>
        <v/>
      </c>
      <c r="AB40">
        <f>IF(OR($B40="",'Oversikt'!Q$8="",'Oversikt'!$C$6=""),0,SUMPRODUCT(MAX(('Innmelding'!$A$2:$A$701='Oversikt'!$C$6)*('Innmelding'!$B$2:$B$701='Oversikt'!$C$5)*('Innmelding'!$C$2:$C$701=$B40)*('Innmelding'!$D$2:$D$701='Oversikt'!Q$8)*'Innmelding'!$H$2:$H$701)))</f>
        <v/>
      </c>
      <c r="AC40">
        <f>IF(OR($B40="",'Oversikt'!F$8=""),0,SUMPRODUCT(('Innmelding'!$A$2:$A$701='Oversikt'!$C$4)*('Innmelding'!$B$2:$B$701='Oversikt'!$C$5)*('Innmelding'!$C$2:$C$701=$B40)*('Innmelding'!$D$2:$D$701='Oversikt'!F$8)*('Innmelding'!$H$2:$H$701&gt;0)))</f>
        <v/>
      </c>
      <c r="AD40">
        <f>IF(OR($B40="",'Oversikt'!G$8=""),0,SUMPRODUCT(('Innmelding'!$A$2:$A$701='Oversikt'!$C$4)*('Innmelding'!$B$2:$B$701='Oversikt'!$C$5)*('Innmelding'!$C$2:$C$701=$B40)*('Innmelding'!$D$2:$D$701='Oversikt'!G$8)*('Innmelding'!$H$2:$H$701&gt;0)))</f>
        <v/>
      </c>
      <c r="AE40">
        <f>IF(OR($B40="",'Oversikt'!H$8=""),0,SUMPRODUCT(('Innmelding'!$A$2:$A$701='Oversikt'!$C$4)*('Innmelding'!$B$2:$B$701='Oversikt'!$C$5)*('Innmelding'!$C$2:$C$701=$B40)*('Innmelding'!$D$2:$D$701='Oversikt'!H$8)*('Innmelding'!$H$2:$H$701&gt;0)))</f>
        <v/>
      </c>
      <c r="AF40">
        <f>IF(OR($B40="",'Oversikt'!I$8=""),0,SUMPRODUCT(('Innmelding'!$A$2:$A$701='Oversikt'!$C$4)*('Innmelding'!$B$2:$B$701='Oversikt'!$C$5)*('Innmelding'!$C$2:$C$701=$B40)*('Innmelding'!$D$2:$D$701='Oversikt'!I$8)*('Innmelding'!$H$2:$H$701&gt;0)))</f>
        <v/>
      </c>
      <c r="AG40">
        <f>IF(OR($B40="",'Oversikt'!J$8=""),0,SUMPRODUCT(('Innmelding'!$A$2:$A$701='Oversikt'!$C$4)*('Innmelding'!$B$2:$B$701='Oversikt'!$C$5)*('Innmelding'!$C$2:$C$701=$B40)*('Innmelding'!$D$2:$D$701='Oversikt'!J$8)*('Innmelding'!$H$2:$H$701&gt;0)))</f>
        <v/>
      </c>
      <c r="AH40">
        <f>IF(OR($B40="",'Oversikt'!K$8=""),0,SUMPRODUCT(('Innmelding'!$A$2:$A$701='Oversikt'!$C$4)*('Innmelding'!$B$2:$B$701='Oversikt'!$C$5)*('Innmelding'!$C$2:$C$701=$B40)*('Innmelding'!$D$2:$D$701='Oversikt'!K$8)*('Innmelding'!$H$2:$H$701&gt;0)))</f>
        <v/>
      </c>
      <c r="AI40">
        <f>IF(OR($B40="",'Oversikt'!L$8=""),0,SUMPRODUCT(('Innmelding'!$A$2:$A$701='Oversikt'!$C$4)*('Innmelding'!$B$2:$B$701='Oversikt'!$C$5)*('Innmelding'!$C$2:$C$701=$B40)*('Innmelding'!$D$2:$D$701='Oversikt'!L$8)*('Innmelding'!$H$2:$H$701&gt;0)))</f>
        <v/>
      </c>
      <c r="AJ40">
        <f>IF(OR($B40="",'Oversikt'!M$8=""),0,SUMPRODUCT(('Innmelding'!$A$2:$A$701='Oversikt'!$C$4)*('Innmelding'!$B$2:$B$701='Oversikt'!$C$5)*('Innmelding'!$C$2:$C$701=$B40)*('Innmelding'!$D$2:$D$701='Oversikt'!M$8)*('Innmelding'!$H$2:$H$701&gt;0)))</f>
        <v/>
      </c>
      <c r="AK40">
        <f>IF(OR($B40="",'Oversikt'!N$8=""),0,SUMPRODUCT(('Innmelding'!$A$2:$A$701='Oversikt'!$C$4)*('Innmelding'!$B$2:$B$701='Oversikt'!$C$5)*('Innmelding'!$C$2:$C$701=$B40)*('Innmelding'!$D$2:$D$701='Oversikt'!N$8)*('Innmelding'!$H$2:$H$701&gt;0)))</f>
        <v/>
      </c>
      <c r="AL40">
        <f>IF(OR($B40="",'Oversikt'!O$8=""),0,SUMPRODUCT(('Innmelding'!$A$2:$A$701='Oversikt'!$C$4)*('Innmelding'!$B$2:$B$701='Oversikt'!$C$5)*('Innmelding'!$C$2:$C$701=$B40)*('Innmelding'!$D$2:$D$701='Oversikt'!O$8)*('Innmelding'!$H$2:$H$701&gt;0)))</f>
        <v/>
      </c>
      <c r="AM40">
        <f>IF(OR($B40="",'Oversikt'!P$8=""),0,SUMPRODUCT(('Innmelding'!$A$2:$A$701='Oversikt'!$C$4)*('Innmelding'!$B$2:$B$701='Oversikt'!$C$5)*('Innmelding'!$C$2:$C$701=$B40)*('Innmelding'!$D$2:$D$701='Oversikt'!P$8)*('Innmelding'!$H$2:$H$701&gt;0)))</f>
        <v/>
      </c>
      <c r="AN40">
        <f>IF(OR($B40="",'Oversikt'!Q$8=""),0,SUMPRODUCT(('Innmelding'!$A$2:$A$701='Oversikt'!$C$4)*('Innmelding'!$B$2:$B$701='Oversikt'!$C$5)*('Innmelding'!$C$2:$C$701=$B40)*('Innmelding'!$D$2:$D$701='Oversikt'!Q$8)*('Innmelding'!$H$2:$H$701&gt;0)))</f>
        <v/>
      </c>
    </row>
    <row r="41">
      <c r="A41" t="n">
        <v>40</v>
      </c>
      <c r="B41">
        <f>IFERROR(INDEX('Elevar'!$A$2:$AZ$41,$A41,MATCH('Oversikt'!$C$5,'Elevar'!$A$1:$AZ$1,0))&amp;"","")</f>
        <v/>
      </c>
      <c r="C41">
        <f>IF($B41="",-1-$A41/1000,COUNTIF($E41:$P41,3)*10000+COUNTIF($E41:$P41,2)*100+COUNTIF($E41:$P41,1)+(100-$A41)/1000)</f>
        <v/>
      </c>
      <c r="D41">
        <f>MATCH(LARGE($C$2:$C$41,$A41),$C$2:$C$41,0)</f>
        <v/>
      </c>
      <c r="E41">
        <f>IF(OR($B41="",'Oversikt'!F$8=""),0,SUMPRODUCT(MAX(('Innmelding'!$A$2:$A$701='Oversikt'!$C$4)*('Innmelding'!$B$2:$B$701='Oversikt'!$C$5)*('Innmelding'!$C$2:$C$701=$B41)*('Innmelding'!$D$2:$D$701='Oversikt'!F$8)*'Innmelding'!$H$2:$H$701)))</f>
        <v/>
      </c>
      <c r="F41">
        <f>IF(OR($B41="",'Oversikt'!G$8=""),0,SUMPRODUCT(MAX(('Innmelding'!$A$2:$A$701='Oversikt'!$C$4)*('Innmelding'!$B$2:$B$701='Oversikt'!$C$5)*('Innmelding'!$C$2:$C$701=$B41)*('Innmelding'!$D$2:$D$701='Oversikt'!G$8)*'Innmelding'!$H$2:$H$701)))</f>
        <v/>
      </c>
      <c r="G41">
        <f>IF(OR($B41="",'Oversikt'!H$8=""),0,SUMPRODUCT(MAX(('Innmelding'!$A$2:$A$701='Oversikt'!$C$4)*('Innmelding'!$B$2:$B$701='Oversikt'!$C$5)*('Innmelding'!$C$2:$C$701=$B41)*('Innmelding'!$D$2:$D$701='Oversikt'!H$8)*'Innmelding'!$H$2:$H$701)))</f>
        <v/>
      </c>
      <c r="H41">
        <f>IF(OR($B41="",'Oversikt'!I$8=""),0,SUMPRODUCT(MAX(('Innmelding'!$A$2:$A$701='Oversikt'!$C$4)*('Innmelding'!$B$2:$B$701='Oversikt'!$C$5)*('Innmelding'!$C$2:$C$701=$B41)*('Innmelding'!$D$2:$D$701='Oversikt'!I$8)*'Innmelding'!$H$2:$H$701)))</f>
        <v/>
      </c>
      <c r="I41">
        <f>IF(OR($B41="",'Oversikt'!J$8=""),0,SUMPRODUCT(MAX(('Innmelding'!$A$2:$A$701='Oversikt'!$C$4)*('Innmelding'!$B$2:$B$701='Oversikt'!$C$5)*('Innmelding'!$C$2:$C$701=$B41)*('Innmelding'!$D$2:$D$701='Oversikt'!J$8)*'Innmelding'!$H$2:$H$701)))</f>
        <v/>
      </c>
      <c r="J41">
        <f>IF(OR($B41="",'Oversikt'!K$8=""),0,SUMPRODUCT(MAX(('Innmelding'!$A$2:$A$701='Oversikt'!$C$4)*('Innmelding'!$B$2:$B$701='Oversikt'!$C$5)*('Innmelding'!$C$2:$C$701=$B41)*('Innmelding'!$D$2:$D$701='Oversikt'!K$8)*'Innmelding'!$H$2:$H$701)))</f>
        <v/>
      </c>
      <c r="K41">
        <f>IF(OR($B41="",'Oversikt'!L$8=""),0,SUMPRODUCT(MAX(('Innmelding'!$A$2:$A$701='Oversikt'!$C$4)*('Innmelding'!$B$2:$B$701='Oversikt'!$C$5)*('Innmelding'!$C$2:$C$701=$B41)*('Innmelding'!$D$2:$D$701='Oversikt'!L$8)*'Innmelding'!$H$2:$H$701)))</f>
        <v/>
      </c>
      <c r="L41">
        <f>IF(OR($B41="",'Oversikt'!M$8=""),0,SUMPRODUCT(MAX(('Innmelding'!$A$2:$A$701='Oversikt'!$C$4)*('Innmelding'!$B$2:$B$701='Oversikt'!$C$5)*('Innmelding'!$C$2:$C$701=$B41)*('Innmelding'!$D$2:$D$701='Oversikt'!M$8)*'Innmelding'!$H$2:$H$701)))</f>
        <v/>
      </c>
      <c r="M41">
        <f>IF(OR($B41="",'Oversikt'!N$8=""),0,SUMPRODUCT(MAX(('Innmelding'!$A$2:$A$701='Oversikt'!$C$4)*('Innmelding'!$B$2:$B$701='Oversikt'!$C$5)*('Innmelding'!$C$2:$C$701=$B41)*('Innmelding'!$D$2:$D$701='Oversikt'!N$8)*'Innmelding'!$H$2:$H$701)))</f>
        <v/>
      </c>
      <c r="N41">
        <f>IF(OR($B41="",'Oversikt'!O$8=""),0,SUMPRODUCT(MAX(('Innmelding'!$A$2:$A$701='Oversikt'!$C$4)*('Innmelding'!$B$2:$B$701='Oversikt'!$C$5)*('Innmelding'!$C$2:$C$701=$B41)*('Innmelding'!$D$2:$D$701='Oversikt'!O$8)*'Innmelding'!$H$2:$H$701)))</f>
        <v/>
      </c>
      <c r="O41">
        <f>IF(OR($B41="",'Oversikt'!P$8=""),0,SUMPRODUCT(MAX(('Innmelding'!$A$2:$A$701='Oversikt'!$C$4)*('Innmelding'!$B$2:$B$701='Oversikt'!$C$5)*('Innmelding'!$C$2:$C$701=$B41)*('Innmelding'!$D$2:$D$701='Oversikt'!P$8)*'Innmelding'!$H$2:$H$701)))</f>
        <v/>
      </c>
      <c r="P41">
        <f>IF(OR($B41="",'Oversikt'!Q$8=""),0,SUMPRODUCT(MAX(('Innmelding'!$A$2:$A$701='Oversikt'!$C$4)*('Innmelding'!$B$2:$B$701='Oversikt'!$C$5)*('Innmelding'!$C$2:$C$701=$B41)*('Innmelding'!$D$2:$D$701='Oversikt'!Q$8)*'Innmelding'!$H$2:$H$701)))</f>
        <v/>
      </c>
      <c r="Q41">
        <f>IF(OR($B41="",'Oversikt'!F$8="",'Oversikt'!$C$6=""),0,SUMPRODUCT(MAX(('Innmelding'!$A$2:$A$701='Oversikt'!$C$6)*('Innmelding'!$B$2:$B$701='Oversikt'!$C$5)*('Innmelding'!$C$2:$C$701=$B41)*('Innmelding'!$D$2:$D$701='Oversikt'!F$8)*'Innmelding'!$H$2:$H$701)))</f>
        <v/>
      </c>
      <c r="R41">
        <f>IF(OR($B41="",'Oversikt'!G$8="",'Oversikt'!$C$6=""),0,SUMPRODUCT(MAX(('Innmelding'!$A$2:$A$701='Oversikt'!$C$6)*('Innmelding'!$B$2:$B$701='Oversikt'!$C$5)*('Innmelding'!$C$2:$C$701=$B41)*('Innmelding'!$D$2:$D$701='Oversikt'!G$8)*'Innmelding'!$H$2:$H$701)))</f>
        <v/>
      </c>
      <c r="S41">
        <f>IF(OR($B41="",'Oversikt'!H$8="",'Oversikt'!$C$6=""),0,SUMPRODUCT(MAX(('Innmelding'!$A$2:$A$701='Oversikt'!$C$6)*('Innmelding'!$B$2:$B$701='Oversikt'!$C$5)*('Innmelding'!$C$2:$C$701=$B41)*('Innmelding'!$D$2:$D$701='Oversikt'!H$8)*'Innmelding'!$H$2:$H$701)))</f>
        <v/>
      </c>
      <c r="T41">
        <f>IF(OR($B41="",'Oversikt'!I$8="",'Oversikt'!$C$6=""),0,SUMPRODUCT(MAX(('Innmelding'!$A$2:$A$701='Oversikt'!$C$6)*('Innmelding'!$B$2:$B$701='Oversikt'!$C$5)*('Innmelding'!$C$2:$C$701=$B41)*('Innmelding'!$D$2:$D$701='Oversikt'!I$8)*'Innmelding'!$H$2:$H$701)))</f>
        <v/>
      </c>
      <c r="U41">
        <f>IF(OR($B41="",'Oversikt'!J$8="",'Oversikt'!$C$6=""),0,SUMPRODUCT(MAX(('Innmelding'!$A$2:$A$701='Oversikt'!$C$6)*('Innmelding'!$B$2:$B$701='Oversikt'!$C$5)*('Innmelding'!$C$2:$C$701=$B41)*('Innmelding'!$D$2:$D$701='Oversikt'!J$8)*'Innmelding'!$H$2:$H$701)))</f>
        <v/>
      </c>
      <c r="V41">
        <f>IF(OR($B41="",'Oversikt'!K$8="",'Oversikt'!$C$6=""),0,SUMPRODUCT(MAX(('Innmelding'!$A$2:$A$701='Oversikt'!$C$6)*('Innmelding'!$B$2:$B$701='Oversikt'!$C$5)*('Innmelding'!$C$2:$C$701=$B41)*('Innmelding'!$D$2:$D$701='Oversikt'!K$8)*'Innmelding'!$H$2:$H$701)))</f>
        <v/>
      </c>
      <c r="W41">
        <f>IF(OR($B41="",'Oversikt'!L$8="",'Oversikt'!$C$6=""),0,SUMPRODUCT(MAX(('Innmelding'!$A$2:$A$701='Oversikt'!$C$6)*('Innmelding'!$B$2:$B$701='Oversikt'!$C$5)*('Innmelding'!$C$2:$C$701=$B41)*('Innmelding'!$D$2:$D$701='Oversikt'!L$8)*'Innmelding'!$H$2:$H$701)))</f>
        <v/>
      </c>
      <c r="X41">
        <f>IF(OR($B41="",'Oversikt'!M$8="",'Oversikt'!$C$6=""),0,SUMPRODUCT(MAX(('Innmelding'!$A$2:$A$701='Oversikt'!$C$6)*('Innmelding'!$B$2:$B$701='Oversikt'!$C$5)*('Innmelding'!$C$2:$C$701=$B41)*('Innmelding'!$D$2:$D$701='Oversikt'!M$8)*'Innmelding'!$H$2:$H$701)))</f>
        <v/>
      </c>
      <c r="Y41">
        <f>IF(OR($B41="",'Oversikt'!N$8="",'Oversikt'!$C$6=""),0,SUMPRODUCT(MAX(('Innmelding'!$A$2:$A$701='Oversikt'!$C$6)*('Innmelding'!$B$2:$B$701='Oversikt'!$C$5)*('Innmelding'!$C$2:$C$701=$B41)*('Innmelding'!$D$2:$D$701='Oversikt'!N$8)*'Innmelding'!$H$2:$H$701)))</f>
        <v/>
      </c>
      <c r="Z41">
        <f>IF(OR($B41="",'Oversikt'!O$8="",'Oversikt'!$C$6=""),0,SUMPRODUCT(MAX(('Innmelding'!$A$2:$A$701='Oversikt'!$C$6)*('Innmelding'!$B$2:$B$701='Oversikt'!$C$5)*('Innmelding'!$C$2:$C$701=$B41)*('Innmelding'!$D$2:$D$701='Oversikt'!O$8)*'Innmelding'!$H$2:$H$701)))</f>
        <v/>
      </c>
      <c r="AA41">
        <f>IF(OR($B41="",'Oversikt'!P$8="",'Oversikt'!$C$6=""),0,SUMPRODUCT(MAX(('Innmelding'!$A$2:$A$701='Oversikt'!$C$6)*('Innmelding'!$B$2:$B$701='Oversikt'!$C$5)*('Innmelding'!$C$2:$C$701=$B41)*('Innmelding'!$D$2:$D$701='Oversikt'!P$8)*'Innmelding'!$H$2:$H$701)))</f>
        <v/>
      </c>
      <c r="AB41">
        <f>IF(OR($B41="",'Oversikt'!Q$8="",'Oversikt'!$C$6=""),0,SUMPRODUCT(MAX(('Innmelding'!$A$2:$A$701='Oversikt'!$C$6)*('Innmelding'!$B$2:$B$701='Oversikt'!$C$5)*('Innmelding'!$C$2:$C$701=$B41)*('Innmelding'!$D$2:$D$701='Oversikt'!Q$8)*'Innmelding'!$H$2:$H$701)))</f>
        <v/>
      </c>
      <c r="AC41">
        <f>IF(OR($B41="",'Oversikt'!F$8=""),0,SUMPRODUCT(('Innmelding'!$A$2:$A$701='Oversikt'!$C$4)*('Innmelding'!$B$2:$B$701='Oversikt'!$C$5)*('Innmelding'!$C$2:$C$701=$B41)*('Innmelding'!$D$2:$D$701='Oversikt'!F$8)*('Innmelding'!$H$2:$H$701&gt;0)))</f>
        <v/>
      </c>
      <c r="AD41">
        <f>IF(OR($B41="",'Oversikt'!G$8=""),0,SUMPRODUCT(('Innmelding'!$A$2:$A$701='Oversikt'!$C$4)*('Innmelding'!$B$2:$B$701='Oversikt'!$C$5)*('Innmelding'!$C$2:$C$701=$B41)*('Innmelding'!$D$2:$D$701='Oversikt'!G$8)*('Innmelding'!$H$2:$H$701&gt;0)))</f>
        <v/>
      </c>
      <c r="AE41">
        <f>IF(OR($B41="",'Oversikt'!H$8=""),0,SUMPRODUCT(('Innmelding'!$A$2:$A$701='Oversikt'!$C$4)*('Innmelding'!$B$2:$B$701='Oversikt'!$C$5)*('Innmelding'!$C$2:$C$701=$B41)*('Innmelding'!$D$2:$D$701='Oversikt'!H$8)*('Innmelding'!$H$2:$H$701&gt;0)))</f>
        <v/>
      </c>
      <c r="AF41">
        <f>IF(OR($B41="",'Oversikt'!I$8=""),0,SUMPRODUCT(('Innmelding'!$A$2:$A$701='Oversikt'!$C$4)*('Innmelding'!$B$2:$B$701='Oversikt'!$C$5)*('Innmelding'!$C$2:$C$701=$B41)*('Innmelding'!$D$2:$D$701='Oversikt'!I$8)*('Innmelding'!$H$2:$H$701&gt;0)))</f>
        <v/>
      </c>
      <c r="AG41">
        <f>IF(OR($B41="",'Oversikt'!J$8=""),0,SUMPRODUCT(('Innmelding'!$A$2:$A$701='Oversikt'!$C$4)*('Innmelding'!$B$2:$B$701='Oversikt'!$C$5)*('Innmelding'!$C$2:$C$701=$B41)*('Innmelding'!$D$2:$D$701='Oversikt'!J$8)*('Innmelding'!$H$2:$H$701&gt;0)))</f>
        <v/>
      </c>
      <c r="AH41">
        <f>IF(OR($B41="",'Oversikt'!K$8=""),0,SUMPRODUCT(('Innmelding'!$A$2:$A$701='Oversikt'!$C$4)*('Innmelding'!$B$2:$B$701='Oversikt'!$C$5)*('Innmelding'!$C$2:$C$701=$B41)*('Innmelding'!$D$2:$D$701='Oversikt'!K$8)*('Innmelding'!$H$2:$H$701&gt;0)))</f>
        <v/>
      </c>
      <c r="AI41">
        <f>IF(OR($B41="",'Oversikt'!L$8=""),0,SUMPRODUCT(('Innmelding'!$A$2:$A$701='Oversikt'!$C$4)*('Innmelding'!$B$2:$B$701='Oversikt'!$C$5)*('Innmelding'!$C$2:$C$701=$B41)*('Innmelding'!$D$2:$D$701='Oversikt'!L$8)*('Innmelding'!$H$2:$H$701&gt;0)))</f>
        <v/>
      </c>
      <c r="AJ41">
        <f>IF(OR($B41="",'Oversikt'!M$8=""),0,SUMPRODUCT(('Innmelding'!$A$2:$A$701='Oversikt'!$C$4)*('Innmelding'!$B$2:$B$701='Oversikt'!$C$5)*('Innmelding'!$C$2:$C$701=$B41)*('Innmelding'!$D$2:$D$701='Oversikt'!M$8)*('Innmelding'!$H$2:$H$701&gt;0)))</f>
        <v/>
      </c>
      <c r="AK41">
        <f>IF(OR($B41="",'Oversikt'!N$8=""),0,SUMPRODUCT(('Innmelding'!$A$2:$A$701='Oversikt'!$C$4)*('Innmelding'!$B$2:$B$701='Oversikt'!$C$5)*('Innmelding'!$C$2:$C$701=$B41)*('Innmelding'!$D$2:$D$701='Oversikt'!N$8)*('Innmelding'!$H$2:$H$701&gt;0)))</f>
        <v/>
      </c>
      <c r="AL41">
        <f>IF(OR($B41="",'Oversikt'!O$8=""),0,SUMPRODUCT(('Innmelding'!$A$2:$A$701='Oversikt'!$C$4)*('Innmelding'!$B$2:$B$701='Oversikt'!$C$5)*('Innmelding'!$C$2:$C$701=$B41)*('Innmelding'!$D$2:$D$701='Oversikt'!O$8)*('Innmelding'!$H$2:$H$701&gt;0)))</f>
        <v/>
      </c>
      <c r="AM41">
        <f>IF(OR($B41="",'Oversikt'!P$8=""),0,SUMPRODUCT(('Innmelding'!$A$2:$A$701='Oversikt'!$C$4)*('Innmelding'!$B$2:$B$701='Oversikt'!$C$5)*('Innmelding'!$C$2:$C$701=$B41)*('Innmelding'!$D$2:$D$701='Oversikt'!P$8)*('Innmelding'!$H$2:$H$701&gt;0)))</f>
        <v/>
      </c>
      <c r="AN41">
        <f>IF(OR($B41="",'Oversikt'!Q$8=""),0,SUMPRODUCT(('Innmelding'!$A$2:$A$701='Oversikt'!$C$4)*('Innmelding'!$B$2:$B$701='Oversikt'!$C$5)*('Innmelding'!$C$2:$C$701=$B41)*('Innmelding'!$D$2:$D$701='Oversikt'!Q$8)*('Innmelding'!$H$2:$H$701&gt;0)))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Lys</t>
        </is>
      </c>
      <c r="B1" t="inlineStr">
        <is>
          <t>Status</t>
        </is>
      </c>
      <c r="D1" t="inlineStr">
        <is>
          <t>Målformer</t>
        </is>
      </c>
      <c r="F1" t="inlineStr">
        <is>
          <t>Elev</t>
        </is>
      </c>
    </row>
    <row r="2">
      <c r="A2" t="inlineStr">
        <is>
          <t>Grønt</t>
        </is>
      </c>
      <c r="B2" t="inlineStr">
        <is>
          <t>Ikkje starta</t>
        </is>
      </c>
      <c r="D2" t="inlineStr">
        <is>
          <t>bokmål</t>
        </is>
      </c>
      <c r="F2" t="inlineStr">
        <is>
          <t>← vel klasse først</t>
        </is>
      </c>
    </row>
    <row r="3">
      <c r="A3" t="inlineStr">
        <is>
          <t>Gult</t>
        </is>
      </c>
      <c r="B3" t="inlineStr">
        <is>
          <t>Pågår</t>
        </is>
      </c>
      <c r="D3" t="inlineStr">
        <is>
          <t>nynorsk</t>
        </is>
      </c>
    </row>
    <row r="4">
      <c r="A4" t="inlineStr">
        <is>
          <t>Raudt</t>
        </is>
      </c>
      <c r="B4" t="inlineStr">
        <is>
          <t>Blir følgd opp</t>
        </is>
      </c>
    </row>
    <row r="5">
      <c r="B5" t="inlineStr">
        <is>
          <t>Avslutta</t>
        </is>
      </c>
    </row>
    <row r="6">
      <c r="B6" t="inlineStr">
        <is>
          <t>Vidareført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2026-10-19T08:18:31Z</dcterms:created>
  <dcterms:modified xsi:type="dcterms:W3CDTF">2026-10-19T08:18:32Z</dcterms:modified>
</cp:coreProperties>
</file>